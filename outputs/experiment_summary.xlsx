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EFBCEC6E-712B-4B0A-914D-C9782D46E558}" xr6:coauthVersionLast="47" xr6:coauthVersionMax="47" xr10:uidLastSave="{00000000-0000-0000-0000-000000000000}"/>
  <bookViews>
    <workbookView xWindow="0" yWindow="0" windowWidth="0" windowHeight="0" firstSheet="5" activeTab="3" xr2:uid="{00000000-000D-0000-FFFF-FFFF00000000}"/>
  </bookViews>
  <sheets>
    <sheet name="clean_data" sheetId="1" r:id="rId1"/>
    <sheet name="Control_vs_Treatment" sheetId="3" r:id="rId2"/>
    <sheet name="Segment_Analysis" sheetId="8" r:id="rId3"/>
    <sheet name="Executive summary" sheetId="2" r:id="rId4"/>
    <sheet name="Hypothesis Testing" sheetId="4" r:id="rId5"/>
    <sheet name="Guardrail review" sheetId="5" r:id="rId6"/>
    <sheet name="business_context" sheetId="7" r:id="rId7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" l="1"/>
  <c r="B13" i="4"/>
  <c r="B2" i="3"/>
  <c r="C2" i="3"/>
  <c r="D2" i="3"/>
  <c r="E2" i="3"/>
  <c r="F2" i="3"/>
  <c r="G2" i="3"/>
  <c r="H2" i="3"/>
  <c r="I2" i="3"/>
  <c r="J2" i="3"/>
  <c r="K2" i="3"/>
  <c r="L2" i="3"/>
  <c r="B3" i="3"/>
  <c r="C3" i="3"/>
  <c r="D3" i="3"/>
  <c r="E3" i="3"/>
  <c r="F3" i="3"/>
  <c r="G3" i="3"/>
  <c r="H3" i="3"/>
  <c r="I3" i="3"/>
  <c r="J3" i="3"/>
  <c r="K3" i="3"/>
  <c r="L3" i="3"/>
  <c r="D48" i="8"/>
  <c r="D47" i="8"/>
  <c r="D46" i="8"/>
  <c r="D45" i="8"/>
  <c r="D44" i="8"/>
  <c r="D43" i="8"/>
  <c r="D10" i="8"/>
  <c r="D9" i="8"/>
  <c r="D8" i="8"/>
  <c r="D7" i="8"/>
  <c r="D6" i="8"/>
  <c r="D5" i="8"/>
  <c r="D4" i="8"/>
  <c r="D3" i="8"/>
  <c r="B26" i="7"/>
  <c r="B6" i="4"/>
  <c r="B5" i="4"/>
  <c r="B7" i="4" s="1"/>
  <c r="B3" i="4"/>
  <c r="B2" i="4"/>
  <c r="C12" i="2"/>
  <c r="B12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  <c r="T1409" i="1"/>
  <c r="P1409" i="1"/>
  <c r="H1409" i="1"/>
  <c r="F1409" i="1"/>
  <c r="T1408" i="1"/>
  <c r="P1408" i="1"/>
  <c r="H1408" i="1"/>
  <c r="F1408" i="1"/>
  <c r="T1407" i="1"/>
  <c r="P1407" i="1"/>
  <c r="H1407" i="1"/>
  <c r="F1407" i="1"/>
  <c r="T1406" i="1"/>
  <c r="P1406" i="1"/>
  <c r="H1406" i="1"/>
  <c r="F1406" i="1"/>
  <c r="T1405" i="1"/>
  <c r="P1405" i="1"/>
  <c r="H1405" i="1"/>
  <c r="F1405" i="1"/>
  <c r="T1404" i="1"/>
  <c r="P1404" i="1"/>
  <c r="H1404" i="1"/>
  <c r="F1404" i="1"/>
  <c r="T1403" i="1"/>
  <c r="P1403" i="1"/>
  <c r="H1403" i="1"/>
  <c r="F1403" i="1"/>
  <c r="T1402" i="1"/>
  <c r="P1402" i="1"/>
  <c r="H1402" i="1"/>
  <c r="F1402" i="1"/>
  <c r="T1401" i="1"/>
  <c r="P1401" i="1"/>
  <c r="H1401" i="1"/>
  <c r="F1401" i="1"/>
  <c r="T1400" i="1"/>
  <c r="P1400" i="1"/>
  <c r="H1400" i="1"/>
  <c r="F1400" i="1"/>
  <c r="T1399" i="1"/>
  <c r="P1399" i="1"/>
  <c r="H1399" i="1"/>
  <c r="F1399" i="1"/>
  <c r="T1398" i="1"/>
  <c r="P1398" i="1"/>
  <c r="H1398" i="1"/>
  <c r="F1398" i="1"/>
  <c r="T1397" i="1"/>
  <c r="P1397" i="1"/>
  <c r="H1397" i="1"/>
  <c r="F1397" i="1"/>
  <c r="T1396" i="1"/>
  <c r="P1396" i="1"/>
  <c r="H1396" i="1"/>
  <c r="F1396" i="1"/>
  <c r="T1395" i="1"/>
  <c r="P1395" i="1"/>
  <c r="H1395" i="1"/>
  <c r="F1395" i="1"/>
  <c r="T1394" i="1"/>
  <c r="P1394" i="1"/>
  <c r="H1394" i="1"/>
  <c r="F1394" i="1"/>
  <c r="T1393" i="1"/>
  <c r="P1393" i="1"/>
  <c r="H1393" i="1"/>
  <c r="F1393" i="1"/>
  <c r="T1392" i="1"/>
  <c r="P1392" i="1"/>
  <c r="H1392" i="1"/>
  <c r="F1392" i="1"/>
  <c r="T1391" i="1"/>
  <c r="P1391" i="1"/>
  <c r="H1391" i="1"/>
  <c r="F1391" i="1"/>
  <c r="T1390" i="1"/>
  <c r="P1390" i="1"/>
  <c r="H1390" i="1"/>
  <c r="F1390" i="1"/>
  <c r="T1389" i="1"/>
  <c r="P1389" i="1"/>
  <c r="H1389" i="1"/>
  <c r="F1389" i="1"/>
  <c r="T1388" i="1"/>
  <c r="P1388" i="1"/>
  <c r="H1388" i="1"/>
  <c r="F1388" i="1"/>
  <c r="T1387" i="1"/>
  <c r="P1387" i="1"/>
  <c r="H1387" i="1"/>
  <c r="F1387" i="1"/>
  <c r="T1386" i="1"/>
  <c r="P1386" i="1"/>
  <c r="H1386" i="1"/>
  <c r="F1386" i="1"/>
  <c r="T1385" i="1"/>
  <c r="P1385" i="1"/>
  <c r="H1385" i="1"/>
  <c r="F1385" i="1"/>
  <c r="T1384" i="1"/>
  <c r="P1384" i="1"/>
  <c r="H1384" i="1"/>
  <c r="F1384" i="1"/>
  <c r="T1383" i="1"/>
  <c r="P1383" i="1"/>
  <c r="H1383" i="1"/>
  <c r="F1383" i="1"/>
  <c r="T1382" i="1"/>
  <c r="P1382" i="1"/>
  <c r="H1382" i="1"/>
  <c r="F1382" i="1"/>
  <c r="T1381" i="1"/>
  <c r="P1381" i="1"/>
  <c r="H1381" i="1"/>
  <c r="F1381" i="1"/>
  <c r="T1380" i="1"/>
  <c r="P1380" i="1"/>
  <c r="H1380" i="1"/>
  <c r="F1380" i="1"/>
  <c r="T1379" i="1"/>
  <c r="P1379" i="1"/>
  <c r="H1379" i="1"/>
  <c r="F1379" i="1"/>
  <c r="T1378" i="1"/>
  <c r="P1378" i="1"/>
  <c r="H1378" i="1"/>
  <c r="F1378" i="1"/>
  <c r="T1377" i="1"/>
  <c r="P1377" i="1"/>
  <c r="H1377" i="1"/>
  <c r="F1377" i="1"/>
  <c r="T1376" i="1"/>
  <c r="P1376" i="1"/>
  <c r="H1376" i="1"/>
  <c r="F1376" i="1"/>
  <c r="T1375" i="1"/>
  <c r="P1375" i="1"/>
  <c r="H1375" i="1"/>
  <c r="F1375" i="1"/>
  <c r="T1374" i="1"/>
  <c r="P1374" i="1"/>
  <c r="H1374" i="1"/>
  <c r="F1374" i="1"/>
  <c r="T1373" i="1"/>
  <c r="P1373" i="1"/>
  <c r="H1373" i="1"/>
  <c r="F1373" i="1"/>
  <c r="T1372" i="1"/>
  <c r="P1372" i="1"/>
  <c r="H1372" i="1"/>
  <c r="F1372" i="1"/>
  <c r="T1371" i="1"/>
  <c r="P1371" i="1"/>
  <c r="H1371" i="1"/>
  <c r="F1371" i="1"/>
  <c r="T1370" i="1"/>
  <c r="P1370" i="1"/>
  <c r="H1370" i="1"/>
  <c r="F1370" i="1"/>
  <c r="T1369" i="1"/>
  <c r="P1369" i="1"/>
  <c r="H1369" i="1"/>
  <c r="F1369" i="1"/>
  <c r="T1368" i="1"/>
  <c r="P1368" i="1"/>
  <c r="H1368" i="1"/>
  <c r="F1368" i="1"/>
  <c r="T1367" i="1"/>
  <c r="P1367" i="1"/>
  <c r="H1367" i="1"/>
  <c r="F1367" i="1"/>
  <c r="T1366" i="1"/>
  <c r="P1366" i="1"/>
  <c r="H1366" i="1"/>
  <c r="F1366" i="1"/>
  <c r="T1365" i="1"/>
  <c r="P1365" i="1"/>
  <c r="H1365" i="1"/>
  <c r="F1365" i="1"/>
  <c r="T1364" i="1"/>
  <c r="P1364" i="1"/>
  <c r="H1364" i="1"/>
  <c r="F1364" i="1"/>
  <c r="T1363" i="1"/>
  <c r="P1363" i="1"/>
  <c r="H1363" i="1"/>
  <c r="F1363" i="1"/>
  <c r="T1362" i="1"/>
  <c r="P1362" i="1"/>
  <c r="H1362" i="1"/>
  <c r="F1362" i="1"/>
  <c r="T1361" i="1"/>
  <c r="P1361" i="1"/>
  <c r="H1361" i="1"/>
  <c r="F1361" i="1"/>
  <c r="T1360" i="1"/>
  <c r="P1360" i="1"/>
  <c r="H1360" i="1"/>
  <c r="F1360" i="1"/>
  <c r="T1359" i="1"/>
  <c r="P1359" i="1"/>
  <c r="H1359" i="1"/>
  <c r="F1359" i="1"/>
  <c r="T1358" i="1"/>
  <c r="P1358" i="1"/>
  <c r="H1358" i="1"/>
  <c r="F1358" i="1"/>
  <c r="T1357" i="1"/>
  <c r="P1357" i="1"/>
  <c r="H1357" i="1"/>
  <c r="F1357" i="1"/>
  <c r="T1356" i="1"/>
  <c r="P1356" i="1"/>
  <c r="H1356" i="1"/>
  <c r="F1356" i="1"/>
  <c r="T1355" i="1"/>
  <c r="P1355" i="1"/>
  <c r="H1355" i="1"/>
  <c r="F1355" i="1"/>
  <c r="T1354" i="1"/>
  <c r="P1354" i="1"/>
  <c r="H1354" i="1"/>
  <c r="F1354" i="1"/>
  <c r="T1353" i="1"/>
  <c r="P1353" i="1"/>
  <c r="H1353" i="1"/>
  <c r="F1353" i="1"/>
  <c r="T1352" i="1"/>
  <c r="P1352" i="1"/>
  <c r="H1352" i="1"/>
  <c r="F1352" i="1"/>
  <c r="T1351" i="1"/>
  <c r="P1351" i="1"/>
  <c r="H1351" i="1"/>
  <c r="F1351" i="1"/>
  <c r="T1350" i="1"/>
  <c r="P1350" i="1"/>
  <c r="H1350" i="1"/>
  <c r="F1350" i="1"/>
  <c r="T1349" i="1"/>
  <c r="P1349" i="1"/>
  <c r="H1349" i="1"/>
  <c r="F1349" i="1"/>
  <c r="T1348" i="1"/>
  <c r="P1348" i="1"/>
  <c r="H1348" i="1"/>
  <c r="F1348" i="1"/>
  <c r="T1347" i="1"/>
  <c r="P1347" i="1"/>
  <c r="H1347" i="1"/>
  <c r="F1347" i="1"/>
  <c r="T1346" i="1"/>
  <c r="P1346" i="1"/>
  <c r="H1346" i="1"/>
  <c r="F1346" i="1"/>
  <c r="T1345" i="1"/>
  <c r="P1345" i="1"/>
  <c r="H1345" i="1"/>
  <c r="F1345" i="1"/>
  <c r="T1344" i="1"/>
  <c r="P1344" i="1"/>
  <c r="H1344" i="1"/>
  <c r="F1344" i="1"/>
  <c r="T1343" i="1"/>
  <c r="P1343" i="1"/>
  <c r="H1343" i="1"/>
  <c r="F1343" i="1"/>
  <c r="T1342" i="1"/>
  <c r="P1342" i="1"/>
  <c r="H1342" i="1"/>
  <c r="F1342" i="1"/>
  <c r="T1341" i="1"/>
  <c r="P1341" i="1"/>
  <c r="H1341" i="1"/>
  <c r="F1341" i="1"/>
  <c r="T1340" i="1"/>
  <c r="P1340" i="1"/>
  <c r="H1340" i="1"/>
  <c r="F1340" i="1"/>
  <c r="T1339" i="1"/>
  <c r="P1339" i="1"/>
  <c r="H1339" i="1"/>
  <c r="F1339" i="1"/>
  <c r="T1338" i="1"/>
  <c r="P1338" i="1"/>
  <c r="H1338" i="1"/>
  <c r="F1338" i="1"/>
  <c r="T1337" i="1"/>
  <c r="P1337" i="1"/>
  <c r="H1337" i="1"/>
  <c r="F1337" i="1"/>
  <c r="T1336" i="1"/>
  <c r="P1336" i="1"/>
  <c r="H1336" i="1"/>
  <c r="F1336" i="1"/>
  <c r="T1335" i="1"/>
  <c r="P1335" i="1"/>
  <c r="H1335" i="1"/>
  <c r="F1335" i="1"/>
  <c r="T1334" i="1"/>
  <c r="P1334" i="1"/>
  <c r="H1334" i="1"/>
  <c r="F1334" i="1"/>
  <c r="T1333" i="1"/>
  <c r="P1333" i="1"/>
  <c r="H1333" i="1"/>
  <c r="F1333" i="1"/>
  <c r="T1332" i="1"/>
  <c r="P1332" i="1"/>
  <c r="H1332" i="1"/>
  <c r="F1332" i="1"/>
  <c r="T1331" i="1"/>
  <c r="P1331" i="1"/>
  <c r="H1331" i="1"/>
  <c r="F1331" i="1"/>
  <c r="T1330" i="1"/>
  <c r="P1330" i="1"/>
  <c r="H1330" i="1"/>
  <c r="F1330" i="1"/>
  <c r="T1329" i="1"/>
  <c r="P1329" i="1"/>
  <c r="H1329" i="1"/>
  <c r="F1329" i="1"/>
  <c r="T1328" i="1"/>
  <c r="P1328" i="1"/>
  <c r="H1328" i="1"/>
  <c r="F1328" i="1"/>
  <c r="T1327" i="1"/>
  <c r="P1327" i="1"/>
  <c r="H1327" i="1"/>
  <c r="F1327" i="1"/>
  <c r="T1326" i="1"/>
  <c r="P1326" i="1"/>
  <c r="H1326" i="1"/>
  <c r="F1326" i="1"/>
  <c r="T1325" i="1"/>
  <c r="P1325" i="1"/>
  <c r="H1325" i="1"/>
  <c r="F1325" i="1"/>
  <c r="T1324" i="1"/>
  <c r="P1324" i="1"/>
  <c r="H1324" i="1"/>
  <c r="F1324" i="1"/>
  <c r="T1323" i="1"/>
  <c r="P1323" i="1"/>
  <c r="H1323" i="1"/>
  <c r="F1323" i="1"/>
  <c r="T1322" i="1"/>
  <c r="P1322" i="1"/>
  <c r="H1322" i="1"/>
  <c r="F1322" i="1"/>
  <c r="T1321" i="1"/>
  <c r="P1321" i="1"/>
  <c r="H1321" i="1"/>
  <c r="F1321" i="1"/>
  <c r="T1320" i="1"/>
  <c r="P1320" i="1"/>
  <c r="H1320" i="1"/>
  <c r="F1320" i="1"/>
  <c r="T1319" i="1"/>
  <c r="P1319" i="1"/>
  <c r="H1319" i="1"/>
  <c r="F1319" i="1"/>
  <c r="T1318" i="1"/>
  <c r="P1318" i="1"/>
  <c r="H1318" i="1"/>
  <c r="F1318" i="1"/>
  <c r="T1317" i="1"/>
  <c r="P1317" i="1"/>
  <c r="H1317" i="1"/>
  <c r="F1317" i="1"/>
  <c r="T1316" i="1"/>
  <c r="P1316" i="1"/>
  <c r="H1316" i="1"/>
  <c r="F1316" i="1"/>
  <c r="T1315" i="1"/>
  <c r="P1315" i="1"/>
  <c r="H1315" i="1"/>
  <c r="F1315" i="1"/>
  <c r="T1314" i="1"/>
  <c r="P1314" i="1"/>
  <c r="H1314" i="1"/>
  <c r="F1314" i="1"/>
  <c r="T1313" i="1"/>
  <c r="P1313" i="1"/>
  <c r="H1313" i="1"/>
  <c r="F1313" i="1"/>
  <c r="T1312" i="1"/>
  <c r="P1312" i="1"/>
  <c r="H1312" i="1"/>
  <c r="F1312" i="1"/>
  <c r="T1311" i="1"/>
  <c r="P1311" i="1"/>
  <c r="H1311" i="1"/>
  <c r="F1311" i="1"/>
  <c r="T1310" i="1"/>
  <c r="P1310" i="1"/>
  <c r="H1310" i="1"/>
  <c r="F1310" i="1"/>
  <c r="T1309" i="1"/>
  <c r="P1309" i="1"/>
  <c r="H1309" i="1"/>
  <c r="F1309" i="1"/>
  <c r="T1308" i="1"/>
  <c r="P1308" i="1"/>
  <c r="H1308" i="1"/>
  <c r="F1308" i="1"/>
  <c r="T1307" i="1"/>
  <c r="P1307" i="1"/>
  <c r="H1307" i="1"/>
  <c r="F1307" i="1"/>
  <c r="T1306" i="1"/>
  <c r="P1306" i="1"/>
  <c r="H1306" i="1"/>
  <c r="F1306" i="1"/>
  <c r="T1305" i="1"/>
  <c r="P1305" i="1"/>
  <c r="H1305" i="1"/>
  <c r="F1305" i="1"/>
  <c r="T1304" i="1"/>
  <c r="P1304" i="1"/>
  <c r="H1304" i="1"/>
  <c r="F1304" i="1"/>
  <c r="T1303" i="1"/>
  <c r="P1303" i="1"/>
  <c r="H1303" i="1"/>
  <c r="F1303" i="1"/>
  <c r="T1302" i="1"/>
  <c r="P1302" i="1"/>
  <c r="H1302" i="1"/>
  <c r="F1302" i="1"/>
  <c r="T1301" i="1"/>
  <c r="P1301" i="1"/>
  <c r="H1301" i="1"/>
  <c r="F1301" i="1"/>
  <c r="T1300" i="1"/>
  <c r="P1300" i="1"/>
  <c r="H1300" i="1"/>
  <c r="F1300" i="1"/>
  <c r="T1299" i="1"/>
  <c r="P1299" i="1"/>
  <c r="H1299" i="1"/>
  <c r="F1299" i="1"/>
  <c r="T1298" i="1"/>
  <c r="P1298" i="1"/>
  <c r="H1298" i="1"/>
  <c r="F1298" i="1"/>
  <c r="T1297" i="1"/>
  <c r="P1297" i="1"/>
  <c r="H1297" i="1"/>
  <c r="F1297" i="1"/>
  <c r="T1296" i="1"/>
  <c r="P1296" i="1"/>
  <c r="H1296" i="1"/>
  <c r="F1296" i="1"/>
  <c r="T1295" i="1"/>
  <c r="P1295" i="1"/>
  <c r="H1295" i="1"/>
  <c r="F1295" i="1"/>
  <c r="T1294" i="1"/>
  <c r="P1294" i="1"/>
  <c r="H1294" i="1"/>
  <c r="F1294" i="1"/>
  <c r="T1293" i="1"/>
  <c r="P1293" i="1"/>
  <c r="H1293" i="1"/>
  <c r="F1293" i="1"/>
  <c r="T1292" i="1"/>
  <c r="P1292" i="1"/>
  <c r="H1292" i="1"/>
  <c r="F1292" i="1"/>
  <c r="T1291" i="1"/>
  <c r="P1291" i="1"/>
  <c r="H1291" i="1"/>
  <c r="F1291" i="1"/>
  <c r="T1290" i="1"/>
  <c r="P1290" i="1"/>
  <c r="H1290" i="1"/>
  <c r="F1290" i="1"/>
  <c r="T1289" i="1"/>
  <c r="P1289" i="1"/>
  <c r="H1289" i="1"/>
  <c r="F1289" i="1"/>
  <c r="T1288" i="1"/>
  <c r="P1288" i="1"/>
  <c r="H1288" i="1"/>
  <c r="F1288" i="1"/>
  <c r="T1287" i="1"/>
  <c r="P1287" i="1"/>
  <c r="H1287" i="1"/>
  <c r="F1287" i="1"/>
  <c r="T1286" i="1"/>
  <c r="P1286" i="1"/>
  <c r="H1286" i="1"/>
  <c r="F1286" i="1"/>
  <c r="T1285" i="1"/>
  <c r="P1285" i="1"/>
  <c r="H1285" i="1"/>
  <c r="F1285" i="1"/>
  <c r="T1284" i="1"/>
  <c r="P1284" i="1"/>
  <c r="H1284" i="1"/>
  <c r="F1284" i="1"/>
  <c r="T1283" i="1"/>
  <c r="P1283" i="1"/>
  <c r="H1283" i="1"/>
  <c r="F1283" i="1"/>
  <c r="T1282" i="1"/>
  <c r="P1282" i="1"/>
  <c r="H1282" i="1"/>
  <c r="F1282" i="1"/>
  <c r="T1281" i="1"/>
  <c r="P1281" i="1"/>
  <c r="H1281" i="1"/>
  <c r="F1281" i="1"/>
  <c r="T1280" i="1"/>
  <c r="P1280" i="1"/>
  <c r="H1280" i="1"/>
  <c r="F1280" i="1"/>
  <c r="T1279" i="1"/>
  <c r="P1279" i="1"/>
  <c r="H1279" i="1"/>
  <c r="F1279" i="1"/>
  <c r="T1278" i="1"/>
  <c r="P1278" i="1"/>
  <c r="H1278" i="1"/>
  <c r="F1278" i="1"/>
  <c r="T1277" i="1"/>
  <c r="P1277" i="1"/>
  <c r="H1277" i="1"/>
  <c r="F1277" i="1"/>
  <c r="T1276" i="1"/>
  <c r="P1276" i="1"/>
  <c r="H1276" i="1"/>
  <c r="F1276" i="1"/>
  <c r="T1275" i="1"/>
  <c r="P1275" i="1"/>
  <c r="H1275" i="1"/>
  <c r="F1275" i="1"/>
  <c r="T1274" i="1"/>
  <c r="P1274" i="1"/>
  <c r="H1274" i="1"/>
  <c r="F1274" i="1"/>
  <c r="T1273" i="1"/>
  <c r="P1273" i="1"/>
  <c r="H1273" i="1"/>
  <c r="F1273" i="1"/>
  <c r="T1272" i="1"/>
  <c r="P1272" i="1"/>
  <c r="H1272" i="1"/>
  <c r="F1272" i="1"/>
  <c r="T1271" i="1"/>
  <c r="P1271" i="1"/>
  <c r="H1271" i="1"/>
  <c r="F1271" i="1"/>
  <c r="T1270" i="1"/>
  <c r="P1270" i="1"/>
  <c r="H1270" i="1"/>
  <c r="F1270" i="1"/>
  <c r="T1269" i="1"/>
  <c r="P1269" i="1"/>
  <c r="H1269" i="1"/>
  <c r="F1269" i="1"/>
  <c r="T1268" i="1"/>
  <c r="P1268" i="1"/>
  <c r="H1268" i="1"/>
  <c r="F1268" i="1"/>
  <c r="T1267" i="1"/>
  <c r="P1267" i="1"/>
  <c r="H1267" i="1"/>
  <c r="F1267" i="1"/>
  <c r="T1266" i="1"/>
  <c r="P1266" i="1"/>
  <c r="H1266" i="1"/>
  <c r="F1266" i="1"/>
  <c r="T1265" i="1"/>
  <c r="P1265" i="1"/>
  <c r="H1265" i="1"/>
  <c r="F1265" i="1"/>
  <c r="T1264" i="1"/>
  <c r="P1264" i="1"/>
  <c r="H1264" i="1"/>
  <c r="F1264" i="1"/>
  <c r="T1263" i="1"/>
  <c r="P1263" i="1"/>
  <c r="H1263" i="1"/>
  <c r="F1263" i="1"/>
  <c r="T1262" i="1"/>
  <c r="P1262" i="1"/>
  <c r="H1262" i="1"/>
  <c r="F1262" i="1"/>
  <c r="T1261" i="1"/>
  <c r="P1261" i="1"/>
  <c r="H1261" i="1"/>
  <c r="F1261" i="1"/>
  <c r="T1260" i="1"/>
  <c r="P1260" i="1"/>
  <c r="H1260" i="1"/>
  <c r="F1260" i="1"/>
  <c r="T1259" i="1"/>
  <c r="P1259" i="1"/>
  <c r="H1259" i="1"/>
  <c r="F1259" i="1"/>
  <c r="T1258" i="1"/>
  <c r="P1258" i="1"/>
  <c r="H1258" i="1"/>
  <c r="F1258" i="1"/>
  <c r="T1257" i="1"/>
  <c r="P1257" i="1"/>
  <c r="H1257" i="1"/>
  <c r="F1257" i="1"/>
  <c r="T1256" i="1"/>
  <c r="P1256" i="1"/>
  <c r="H1256" i="1"/>
  <c r="F1256" i="1"/>
  <c r="T1255" i="1"/>
  <c r="P1255" i="1"/>
  <c r="H1255" i="1"/>
  <c r="F1255" i="1"/>
  <c r="T1254" i="1"/>
  <c r="P1254" i="1"/>
  <c r="H1254" i="1"/>
  <c r="F1254" i="1"/>
  <c r="T1253" i="1"/>
  <c r="P1253" i="1"/>
  <c r="H1253" i="1"/>
  <c r="F1253" i="1"/>
  <c r="T1252" i="1"/>
  <c r="P1252" i="1"/>
  <c r="H1252" i="1"/>
  <c r="F1252" i="1"/>
  <c r="T1251" i="1"/>
  <c r="P1251" i="1"/>
  <c r="H1251" i="1"/>
  <c r="F1251" i="1"/>
  <c r="T1250" i="1"/>
  <c r="P1250" i="1"/>
  <c r="H1250" i="1"/>
  <c r="F1250" i="1"/>
  <c r="T1249" i="1"/>
  <c r="P1249" i="1"/>
  <c r="H1249" i="1"/>
  <c r="F1249" i="1"/>
  <c r="T1248" i="1"/>
  <c r="P1248" i="1"/>
  <c r="H1248" i="1"/>
  <c r="F1248" i="1"/>
  <c r="T1247" i="1"/>
  <c r="P1247" i="1"/>
  <c r="H1247" i="1"/>
  <c r="F1247" i="1"/>
  <c r="T1246" i="1"/>
  <c r="P1246" i="1"/>
  <c r="H1246" i="1"/>
  <c r="F1246" i="1"/>
  <c r="T1245" i="1"/>
  <c r="P1245" i="1"/>
  <c r="H1245" i="1"/>
  <c r="F1245" i="1"/>
  <c r="T1244" i="1"/>
  <c r="P1244" i="1"/>
  <c r="H1244" i="1"/>
  <c r="F1244" i="1"/>
  <c r="T1243" i="1"/>
  <c r="P1243" i="1"/>
  <c r="H1243" i="1"/>
  <c r="F1243" i="1"/>
  <c r="T1242" i="1"/>
  <c r="P1242" i="1"/>
  <c r="H1242" i="1"/>
  <c r="F1242" i="1"/>
  <c r="T1241" i="1"/>
  <c r="P1241" i="1"/>
  <c r="H1241" i="1"/>
  <c r="F1241" i="1"/>
  <c r="T1240" i="1"/>
  <c r="P1240" i="1"/>
  <c r="H1240" i="1"/>
  <c r="F1240" i="1"/>
  <c r="T1239" i="1"/>
  <c r="P1239" i="1"/>
  <c r="H1239" i="1"/>
  <c r="F1239" i="1"/>
  <c r="T1238" i="1"/>
  <c r="P1238" i="1"/>
  <c r="H1238" i="1"/>
  <c r="F1238" i="1"/>
  <c r="T1237" i="1"/>
  <c r="P1237" i="1"/>
  <c r="H1237" i="1"/>
  <c r="F1237" i="1"/>
  <c r="T1236" i="1"/>
  <c r="P1236" i="1"/>
  <c r="H1236" i="1"/>
  <c r="F1236" i="1"/>
  <c r="T1235" i="1"/>
  <c r="P1235" i="1"/>
  <c r="H1235" i="1"/>
  <c r="F1235" i="1"/>
  <c r="T1234" i="1"/>
  <c r="P1234" i="1"/>
  <c r="H1234" i="1"/>
  <c r="F1234" i="1"/>
  <c r="T1233" i="1"/>
  <c r="P1233" i="1"/>
  <c r="H1233" i="1"/>
  <c r="F1233" i="1"/>
  <c r="T1232" i="1"/>
  <c r="P1232" i="1"/>
  <c r="H1232" i="1"/>
  <c r="F1232" i="1"/>
  <c r="T1231" i="1"/>
  <c r="P1231" i="1"/>
  <c r="H1231" i="1"/>
  <c r="F1231" i="1"/>
  <c r="T1230" i="1"/>
  <c r="P1230" i="1"/>
  <c r="H1230" i="1"/>
  <c r="F1230" i="1"/>
  <c r="T1229" i="1"/>
  <c r="P1229" i="1"/>
  <c r="H1229" i="1"/>
  <c r="F1229" i="1"/>
  <c r="T1228" i="1"/>
  <c r="P1228" i="1"/>
  <c r="H1228" i="1"/>
  <c r="F1228" i="1"/>
  <c r="T1227" i="1"/>
  <c r="P1227" i="1"/>
  <c r="H1227" i="1"/>
  <c r="F1227" i="1"/>
  <c r="T1226" i="1"/>
  <c r="P1226" i="1"/>
  <c r="H1226" i="1"/>
  <c r="F1226" i="1"/>
  <c r="T1225" i="1"/>
  <c r="P1225" i="1"/>
  <c r="H1225" i="1"/>
  <c r="F1225" i="1"/>
  <c r="T1224" i="1"/>
  <c r="P1224" i="1"/>
  <c r="H1224" i="1"/>
  <c r="F1224" i="1"/>
  <c r="T1223" i="1"/>
  <c r="P1223" i="1"/>
  <c r="H1223" i="1"/>
  <c r="F1223" i="1"/>
  <c r="T1222" i="1"/>
  <c r="P1222" i="1"/>
  <c r="H1222" i="1"/>
  <c r="F1222" i="1"/>
  <c r="T1221" i="1"/>
  <c r="P1221" i="1"/>
  <c r="H1221" i="1"/>
  <c r="F1221" i="1"/>
  <c r="T1220" i="1"/>
  <c r="P1220" i="1"/>
  <c r="H1220" i="1"/>
  <c r="F1220" i="1"/>
  <c r="T1219" i="1"/>
  <c r="P1219" i="1"/>
  <c r="H1219" i="1"/>
  <c r="F1219" i="1"/>
  <c r="T1218" i="1"/>
  <c r="P1218" i="1"/>
  <c r="H1218" i="1"/>
  <c r="F1218" i="1"/>
  <c r="T1217" i="1"/>
  <c r="P1217" i="1"/>
  <c r="H1217" i="1"/>
  <c r="F1217" i="1"/>
  <c r="T1216" i="1"/>
  <c r="P1216" i="1"/>
  <c r="H1216" i="1"/>
  <c r="F1216" i="1"/>
  <c r="T1215" i="1"/>
  <c r="P1215" i="1"/>
  <c r="H1215" i="1"/>
  <c r="F1215" i="1"/>
  <c r="T1214" i="1"/>
  <c r="P1214" i="1"/>
  <c r="H1214" i="1"/>
  <c r="F1214" i="1"/>
  <c r="T1213" i="1"/>
  <c r="P1213" i="1"/>
  <c r="H1213" i="1"/>
  <c r="F1213" i="1"/>
  <c r="T1212" i="1"/>
  <c r="P1212" i="1"/>
  <c r="H1212" i="1"/>
  <c r="F1212" i="1"/>
  <c r="T1211" i="1"/>
  <c r="P1211" i="1"/>
  <c r="H1211" i="1"/>
  <c r="F1211" i="1"/>
  <c r="T1210" i="1"/>
  <c r="P1210" i="1"/>
  <c r="H1210" i="1"/>
  <c r="F1210" i="1"/>
  <c r="T1209" i="1"/>
  <c r="P1209" i="1"/>
  <c r="H1209" i="1"/>
  <c r="F1209" i="1"/>
  <c r="T1208" i="1"/>
  <c r="P1208" i="1"/>
  <c r="H1208" i="1"/>
  <c r="F1208" i="1"/>
  <c r="T1207" i="1"/>
  <c r="P1207" i="1"/>
  <c r="H1207" i="1"/>
  <c r="F1207" i="1"/>
  <c r="T1206" i="1"/>
  <c r="P1206" i="1"/>
  <c r="H1206" i="1"/>
  <c r="F1206" i="1"/>
  <c r="T1205" i="1"/>
  <c r="P1205" i="1"/>
  <c r="H1205" i="1"/>
  <c r="F1205" i="1"/>
  <c r="T1204" i="1"/>
  <c r="P1204" i="1"/>
  <c r="H1204" i="1"/>
  <c r="F1204" i="1"/>
  <c r="T1203" i="1"/>
  <c r="P1203" i="1"/>
  <c r="H1203" i="1"/>
  <c r="F1203" i="1"/>
  <c r="T1202" i="1"/>
  <c r="P1202" i="1"/>
  <c r="H1202" i="1"/>
  <c r="F1202" i="1"/>
  <c r="T1201" i="1"/>
  <c r="P1201" i="1"/>
  <c r="H1201" i="1"/>
  <c r="F1201" i="1"/>
  <c r="T1200" i="1"/>
  <c r="P1200" i="1"/>
  <c r="H1200" i="1"/>
  <c r="F1200" i="1"/>
  <c r="T1199" i="1"/>
  <c r="P1199" i="1"/>
  <c r="H1199" i="1"/>
  <c r="F1199" i="1"/>
  <c r="T1198" i="1"/>
  <c r="P1198" i="1"/>
  <c r="H1198" i="1"/>
  <c r="F1198" i="1"/>
  <c r="T1197" i="1"/>
  <c r="P1197" i="1"/>
  <c r="H1197" i="1"/>
  <c r="F1197" i="1"/>
  <c r="T1196" i="1"/>
  <c r="P1196" i="1"/>
  <c r="H1196" i="1"/>
  <c r="F1196" i="1"/>
  <c r="T1195" i="1"/>
  <c r="P1195" i="1"/>
  <c r="H1195" i="1"/>
  <c r="F1195" i="1"/>
  <c r="T1194" i="1"/>
  <c r="P1194" i="1"/>
  <c r="H1194" i="1"/>
  <c r="F1194" i="1"/>
  <c r="T1193" i="1"/>
  <c r="P1193" i="1"/>
  <c r="H1193" i="1"/>
  <c r="F1193" i="1"/>
  <c r="T1192" i="1"/>
  <c r="P1192" i="1"/>
  <c r="H1192" i="1"/>
  <c r="F1192" i="1"/>
  <c r="T1191" i="1"/>
  <c r="P1191" i="1"/>
  <c r="H1191" i="1"/>
  <c r="F1191" i="1"/>
  <c r="T1190" i="1"/>
  <c r="P1190" i="1"/>
  <c r="H1190" i="1"/>
  <c r="F1190" i="1"/>
  <c r="T1189" i="1"/>
  <c r="P1189" i="1"/>
  <c r="H1189" i="1"/>
  <c r="F1189" i="1"/>
  <c r="T1188" i="1"/>
  <c r="P1188" i="1"/>
  <c r="H1188" i="1"/>
  <c r="F1188" i="1"/>
  <c r="T1187" i="1"/>
  <c r="P1187" i="1"/>
  <c r="H1187" i="1"/>
  <c r="F1187" i="1"/>
  <c r="T1186" i="1"/>
  <c r="P1186" i="1"/>
  <c r="H1186" i="1"/>
  <c r="F1186" i="1"/>
  <c r="T1185" i="1"/>
  <c r="P1185" i="1"/>
  <c r="H1185" i="1"/>
  <c r="F1185" i="1"/>
  <c r="T1184" i="1"/>
  <c r="P1184" i="1"/>
  <c r="H1184" i="1"/>
  <c r="F1184" i="1"/>
  <c r="T1183" i="1"/>
  <c r="P1183" i="1"/>
  <c r="H1183" i="1"/>
  <c r="F1183" i="1"/>
  <c r="T1182" i="1"/>
  <c r="P1182" i="1"/>
  <c r="H1182" i="1"/>
  <c r="F1182" i="1"/>
  <c r="T1181" i="1"/>
  <c r="P1181" i="1"/>
  <c r="H1181" i="1"/>
  <c r="F1181" i="1"/>
  <c r="T1180" i="1"/>
  <c r="P1180" i="1"/>
  <c r="H1180" i="1"/>
  <c r="F1180" i="1"/>
  <c r="T1179" i="1"/>
  <c r="P1179" i="1"/>
  <c r="H1179" i="1"/>
  <c r="F1179" i="1"/>
  <c r="T1178" i="1"/>
  <c r="P1178" i="1"/>
  <c r="H1178" i="1"/>
  <c r="F1178" i="1"/>
  <c r="T1177" i="1"/>
  <c r="P1177" i="1"/>
  <c r="H1177" i="1"/>
  <c r="F1177" i="1"/>
  <c r="T1176" i="1"/>
  <c r="P1176" i="1"/>
  <c r="H1176" i="1"/>
  <c r="F1176" i="1"/>
  <c r="T1175" i="1"/>
  <c r="P1175" i="1"/>
  <c r="H1175" i="1"/>
  <c r="F1175" i="1"/>
  <c r="T1174" i="1"/>
  <c r="P1174" i="1"/>
  <c r="H1174" i="1"/>
  <c r="F1174" i="1"/>
  <c r="T1173" i="1"/>
  <c r="P1173" i="1"/>
  <c r="H1173" i="1"/>
  <c r="F1173" i="1"/>
  <c r="T1172" i="1"/>
  <c r="P1172" i="1"/>
  <c r="H1172" i="1"/>
  <c r="F1172" i="1"/>
  <c r="T1171" i="1"/>
  <c r="P1171" i="1"/>
  <c r="H1171" i="1"/>
  <c r="F1171" i="1"/>
  <c r="T1170" i="1"/>
  <c r="P1170" i="1"/>
  <c r="H1170" i="1"/>
  <c r="F1170" i="1"/>
  <c r="T1169" i="1"/>
  <c r="P1169" i="1"/>
  <c r="H1169" i="1"/>
  <c r="F1169" i="1"/>
  <c r="T1168" i="1"/>
  <c r="P1168" i="1"/>
  <c r="H1168" i="1"/>
  <c r="F1168" i="1"/>
  <c r="T1167" i="1"/>
  <c r="P1167" i="1"/>
  <c r="H1167" i="1"/>
  <c r="F1167" i="1"/>
  <c r="T1166" i="1"/>
  <c r="P1166" i="1"/>
  <c r="H1166" i="1"/>
  <c r="F1166" i="1"/>
  <c r="T1165" i="1"/>
  <c r="P1165" i="1"/>
  <c r="H1165" i="1"/>
  <c r="F1165" i="1"/>
  <c r="T1164" i="1"/>
  <c r="P1164" i="1"/>
  <c r="H1164" i="1"/>
  <c r="F1164" i="1"/>
  <c r="T1163" i="1"/>
  <c r="P1163" i="1"/>
  <c r="H1163" i="1"/>
  <c r="F1163" i="1"/>
  <c r="T1162" i="1"/>
  <c r="P1162" i="1"/>
  <c r="H1162" i="1"/>
  <c r="F1162" i="1"/>
  <c r="T1161" i="1"/>
  <c r="P1161" i="1"/>
  <c r="H1161" i="1"/>
  <c r="F1161" i="1"/>
  <c r="T1160" i="1"/>
  <c r="P1160" i="1"/>
  <c r="H1160" i="1"/>
  <c r="F1160" i="1"/>
  <c r="T1159" i="1"/>
  <c r="P1159" i="1"/>
  <c r="H1159" i="1"/>
  <c r="F1159" i="1"/>
  <c r="T1158" i="1"/>
  <c r="P1158" i="1"/>
  <c r="H1158" i="1"/>
  <c r="F1158" i="1"/>
  <c r="T1157" i="1"/>
  <c r="P1157" i="1"/>
  <c r="H1157" i="1"/>
  <c r="F1157" i="1"/>
  <c r="T1156" i="1"/>
  <c r="P1156" i="1"/>
  <c r="H1156" i="1"/>
  <c r="F1156" i="1"/>
  <c r="T1155" i="1"/>
  <c r="P1155" i="1"/>
  <c r="H1155" i="1"/>
  <c r="F1155" i="1"/>
  <c r="T1154" i="1"/>
  <c r="P1154" i="1"/>
  <c r="H1154" i="1"/>
  <c r="F1154" i="1"/>
  <c r="T1153" i="1"/>
  <c r="P1153" i="1"/>
  <c r="H1153" i="1"/>
  <c r="F1153" i="1"/>
  <c r="T1152" i="1"/>
  <c r="P1152" i="1"/>
  <c r="H1152" i="1"/>
  <c r="F1152" i="1"/>
  <c r="T1151" i="1"/>
  <c r="P1151" i="1"/>
  <c r="H1151" i="1"/>
  <c r="F1151" i="1"/>
  <c r="T1150" i="1"/>
  <c r="P1150" i="1"/>
  <c r="H1150" i="1"/>
  <c r="F1150" i="1"/>
  <c r="T1149" i="1"/>
  <c r="P1149" i="1"/>
  <c r="H1149" i="1"/>
  <c r="F1149" i="1"/>
  <c r="T1148" i="1"/>
  <c r="P1148" i="1"/>
  <c r="H1148" i="1"/>
  <c r="F1148" i="1"/>
  <c r="T1147" i="1"/>
  <c r="P1147" i="1"/>
  <c r="H1147" i="1"/>
  <c r="F1147" i="1"/>
  <c r="T1146" i="1"/>
  <c r="P1146" i="1"/>
  <c r="H1146" i="1"/>
  <c r="F1146" i="1"/>
  <c r="T1145" i="1"/>
  <c r="P1145" i="1"/>
  <c r="H1145" i="1"/>
  <c r="F1145" i="1"/>
  <c r="T1144" i="1"/>
  <c r="P1144" i="1"/>
  <c r="H1144" i="1"/>
  <c r="F1144" i="1"/>
  <c r="T1143" i="1"/>
  <c r="P1143" i="1"/>
  <c r="H1143" i="1"/>
  <c r="F1143" i="1"/>
  <c r="T1142" i="1"/>
  <c r="P1142" i="1"/>
  <c r="H1142" i="1"/>
  <c r="F1142" i="1"/>
  <c r="T1141" i="1"/>
  <c r="P1141" i="1"/>
  <c r="H1141" i="1"/>
  <c r="F1141" i="1"/>
  <c r="T1140" i="1"/>
  <c r="P1140" i="1"/>
  <c r="H1140" i="1"/>
  <c r="F1140" i="1"/>
  <c r="T1139" i="1"/>
  <c r="P1139" i="1"/>
  <c r="H1139" i="1"/>
  <c r="F1139" i="1"/>
  <c r="T1138" i="1"/>
  <c r="P1138" i="1"/>
  <c r="H1138" i="1"/>
  <c r="F1138" i="1"/>
  <c r="T1137" i="1"/>
  <c r="P1137" i="1"/>
  <c r="H1137" i="1"/>
  <c r="F1137" i="1"/>
  <c r="T1136" i="1"/>
  <c r="P1136" i="1"/>
  <c r="H1136" i="1"/>
  <c r="F1136" i="1"/>
  <c r="T1135" i="1"/>
  <c r="P1135" i="1"/>
  <c r="H1135" i="1"/>
  <c r="F1135" i="1"/>
  <c r="T1134" i="1"/>
  <c r="P1134" i="1"/>
  <c r="H1134" i="1"/>
  <c r="F1134" i="1"/>
  <c r="T1133" i="1"/>
  <c r="P1133" i="1"/>
  <c r="H1133" i="1"/>
  <c r="F1133" i="1"/>
  <c r="T1132" i="1"/>
  <c r="P1132" i="1"/>
  <c r="H1132" i="1"/>
  <c r="F1132" i="1"/>
  <c r="T1131" i="1"/>
  <c r="P1131" i="1"/>
  <c r="H1131" i="1"/>
  <c r="F1131" i="1"/>
  <c r="T1130" i="1"/>
  <c r="P1130" i="1"/>
  <c r="H1130" i="1"/>
  <c r="F1130" i="1"/>
  <c r="T1129" i="1"/>
  <c r="P1129" i="1"/>
  <c r="H1129" i="1"/>
  <c r="F1129" i="1"/>
  <c r="T1128" i="1"/>
  <c r="P1128" i="1"/>
  <c r="H1128" i="1"/>
  <c r="F1128" i="1"/>
  <c r="T1127" i="1"/>
  <c r="P1127" i="1"/>
  <c r="H1127" i="1"/>
  <c r="F1127" i="1"/>
  <c r="T1126" i="1"/>
  <c r="P1126" i="1"/>
  <c r="H1126" i="1"/>
  <c r="F1126" i="1"/>
  <c r="T1125" i="1"/>
  <c r="P1125" i="1"/>
  <c r="H1125" i="1"/>
  <c r="F1125" i="1"/>
  <c r="T1124" i="1"/>
  <c r="P1124" i="1"/>
  <c r="H1124" i="1"/>
  <c r="F1124" i="1"/>
  <c r="T1123" i="1"/>
  <c r="P1123" i="1"/>
  <c r="H1123" i="1"/>
  <c r="F1123" i="1"/>
  <c r="T1122" i="1"/>
  <c r="P1122" i="1"/>
  <c r="H1122" i="1"/>
  <c r="F1122" i="1"/>
  <c r="T1121" i="1"/>
  <c r="P1121" i="1"/>
  <c r="H1121" i="1"/>
  <c r="F1121" i="1"/>
  <c r="T1120" i="1"/>
  <c r="P1120" i="1"/>
  <c r="H1120" i="1"/>
  <c r="F1120" i="1"/>
  <c r="T1119" i="1"/>
  <c r="P1119" i="1"/>
  <c r="H1119" i="1"/>
  <c r="F1119" i="1"/>
  <c r="T1118" i="1"/>
  <c r="P1118" i="1"/>
  <c r="H1118" i="1"/>
  <c r="F1118" i="1"/>
  <c r="T1117" i="1"/>
  <c r="P1117" i="1"/>
  <c r="H1117" i="1"/>
  <c r="F1117" i="1"/>
  <c r="T1116" i="1"/>
  <c r="P1116" i="1"/>
  <c r="H1116" i="1"/>
  <c r="F1116" i="1"/>
  <c r="T1115" i="1"/>
  <c r="P1115" i="1"/>
  <c r="H1115" i="1"/>
  <c r="F1115" i="1"/>
  <c r="T1114" i="1"/>
  <c r="P1114" i="1"/>
  <c r="H1114" i="1"/>
  <c r="F1114" i="1"/>
  <c r="T1113" i="1"/>
  <c r="P1113" i="1"/>
  <c r="H1113" i="1"/>
  <c r="F1113" i="1"/>
  <c r="T1112" i="1"/>
  <c r="P1112" i="1"/>
  <c r="H1112" i="1"/>
  <c r="F1112" i="1"/>
  <c r="T1111" i="1"/>
  <c r="P1111" i="1"/>
  <c r="H1111" i="1"/>
  <c r="F1111" i="1"/>
  <c r="T1110" i="1"/>
  <c r="P1110" i="1"/>
  <c r="H1110" i="1"/>
  <c r="F1110" i="1"/>
  <c r="T1109" i="1"/>
  <c r="P1109" i="1"/>
  <c r="H1109" i="1"/>
  <c r="F1109" i="1"/>
  <c r="T1108" i="1"/>
  <c r="P1108" i="1"/>
  <c r="H1108" i="1"/>
  <c r="F1108" i="1"/>
  <c r="T1107" i="1"/>
  <c r="P1107" i="1"/>
  <c r="H1107" i="1"/>
  <c r="F1107" i="1"/>
  <c r="T1106" i="1"/>
  <c r="P1106" i="1"/>
  <c r="H1106" i="1"/>
  <c r="F1106" i="1"/>
  <c r="T1105" i="1"/>
  <c r="P1105" i="1"/>
  <c r="H1105" i="1"/>
  <c r="F1105" i="1"/>
  <c r="T1104" i="1"/>
  <c r="P1104" i="1"/>
  <c r="H1104" i="1"/>
  <c r="F1104" i="1"/>
  <c r="T1103" i="1"/>
  <c r="P1103" i="1"/>
  <c r="H1103" i="1"/>
  <c r="F1103" i="1"/>
  <c r="T1102" i="1"/>
  <c r="P1102" i="1"/>
  <c r="H1102" i="1"/>
  <c r="F1102" i="1"/>
  <c r="T1101" i="1"/>
  <c r="P1101" i="1"/>
  <c r="H1101" i="1"/>
  <c r="F1101" i="1"/>
  <c r="T1100" i="1"/>
  <c r="P1100" i="1"/>
  <c r="H1100" i="1"/>
  <c r="F1100" i="1"/>
  <c r="T1099" i="1"/>
  <c r="P1099" i="1"/>
  <c r="H1099" i="1"/>
  <c r="F1099" i="1"/>
  <c r="T1098" i="1"/>
  <c r="P1098" i="1"/>
  <c r="H1098" i="1"/>
  <c r="F1098" i="1"/>
  <c r="T1097" i="1"/>
  <c r="P1097" i="1"/>
  <c r="H1097" i="1"/>
  <c r="F1097" i="1"/>
  <c r="T1096" i="1"/>
  <c r="P1096" i="1"/>
  <c r="H1096" i="1"/>
  <c r="F1096" i="1"/>
  <c r="T1095" i="1"/>
  <c r="P1095" i="1"/>
  <c r="H1095" i="1"/>
  <c r="F1095" i="1"/>
  <c r="T1094" i="1"/>
  <c r="P1094" i="1"/>
  <c r="H1094" i="1"/>
  <c r="F1094" i="1"/>
  <c r="T1093" i="1"/>
  <c r="P1093" i="1"/>
  <c r="H1093" i="1"/>
  <c r="F1093" i="1"/>
  <c r="T1092" i="1"/>
  <c r="P1092" i="1"/>
  <c r="H1092" i="1"/>
  <c r="F1092" i="1"/>
  <c r="T1091" i="1"/>
  <c r="P1091" i="1"/>
  <c r="H1091" i="1"/>
  <c r="F1091" i="1"/>
  <c r="T1090" i="1"/>
  <c r="P1090" i="1"/>
  <c r="H1090" i="1"/>
  <c r="F1090" i="1"/>
  <c r="T1089" i="1"/>
  <c r="P1089" i="1"/>
  <c r="H1089" i="1"/>
  <c r="F1089" i="1"/>
  <c r="T1088" i="1"/>
  <c r="P1088" i="1"/>
  <c r="H1088" i="1"/>
  <c r="F1088" i="1"/>
  <c r="T1087" i="1"/>
  <c r="P1087" i="1"/>
  <c r="H1087" i="1"/>
  <c r="F1087" i="1"/>
  <c r="T1086" i="1"/>
  <c r="P1086" i="1"/>
  <c r="H1086" i="1"/>
  <c r="F1086" i="1"/>
  <c r="T1085" i="1"/>
  <c r="P1085" i="1"/>
  <c r="H1085" i="1"/>
  <c r="F1085" i="1"/>
  <c r="T1084" i="1"/>
  <c r="P1084" i="1"/>
  <c r="H1084" i="1"/>
  <c r="F1084" i="1"/>
  <c r="T1083" i="1"/>
  <c r="P1083" i="1"/>
  <c r="H1083" i="1"/>
  <c r="F1083" i="1"/>
  <c r="T1082" i="1"/>
  <c r="P1082" i="1"/>
  <c r="H1082" i="1"/>
  <c r="F1082" i="1"/>
  <c r="T1081" i="1"/>
  <c r="P1081" i="1"/>
  <c r="H1081" i="1"/>
  <c r="F1081" i="1"/>
  <c r="T1080" i="1"/>
  <c r="P1080" i="1"/>
  <c r="H1080" i="1"/>
  <c r="F1080" i="1"/>
  <c r="T1079" i="1"/>
  <c r="P1079" i="1"/>
  <c r="H1079" i="1"/>
  <c r="F1079" i="1"/>
  <c r="T1078" i="1"/>
  <c r="P1078" i="1"/>
  <c r="H1078" i="1"/>
  <c r="F1078" i="1"/>
  <c r="T1077" i="1"/>
  <c r="P1077" i="1"/>
  <c r="H1077" i="1"/>
  <c r="F1077" i="1"/>
  <c r="T1076" i="1"/>
  <c r="P1076" i="1"/>
  <c r="H1076" i="1"/>
  <c r="F1076" i="1"/>
  <c r="T1075" i="1"/>
  <c r="P1075" i="1"/>
  <c r="H1075" i="1"/>
  <c r="F1075" i="1"/>
  <c r="T1074" i="1"/>
  <c r="P1074" i="1"/>
  <c r="H1074" i="1"/>
  <c r="F1074" i="1"/>
  <c r="T1073" i="1"/>
  <c r="P1073" i="1"/>
  <c r="H1073" i="1"/>
  <c r="F1073" i="1"/>
  <c r="T1072" i="1"/>
  <c r="P1072" i="1"/>
  <c r="H1072" i="1"/>
  <c r="F1072" i="1"/>
  <c r="T1071" i="1"/>
  <c r="P1071" i="1"/>
  <c r="H1071" i="1"/>
  <c r="F1071" i="1"/>
  <c r="T1070" i="1"/>
  <c r="P1070" i="1"/>
  <c r="H1070" i="1"/>
  <c r="F1070" i="1"/>
  <c r="T1069" i="1"/>
  <c r="P1069" i="1"/>
  <c r="H1069" i="1"/>
  <c r="F1069" i="1"/>
  <c r="T1068" i="1"/>
  <c r="P1068" i="1"/>
  <c r="H1068" i="1"/>
  <c r="F1068" i="1"/>
  <c r="T1067" i="1"/>
  <c r="P1067" i="1"/>
  <c r="H1067" i="1"/>
  <c r="F1067" i="1"/>
  <c r="T1066" i="1"/>
  <c r="P1066" i="1"/>
  <c r="H1066" i="1"/>
  <c r="F1066" i="1"/>
  <c r="T1065" i="1"/>
  <c r="P1065" i="1"/>
  <c r="H1065" i="1"/>
  <c r="F1065" i="1"/>
  <c r="T1064" i="1"/>
  <c r="P1064" i="1"/>
  <c r="H1064" i="1"/>
  <c r="F1064" i="1"/>
  <c r="T1063" i="1"/>
  <c r="P1063" i="1"/>
  <c r="H1063" i="1"/>
  <c r="F1063" i="1"/>
  <c r="T1062" i="1"/>
  <c r="P1062" i="1"/>
  <c r="H1062" i="1"/>
  <c r="F1062" i="1"/>
  <c r="T1061" i="1"/>
  <c r="P1061" i="1"/>
  <c r="H1061" i="1"/>
  <c r="F1061" i="1"/>
  <c r="T1060" i="1"/>
  <c r="P1060" i="1"/>
  <c r="H1060" i="1"/>
  <c r="F1060" i="1"/>
  <c r="T1059" i="1"/>
  <c r="P1059" i="1"/>
  <c r="H1059" i="1"/>
  <c r="F1059" i="1"/>
  <c r="T1058" i="1"/>
  <c r="P1058" i="1"/>
  <c r="H1058" i="1"/>
  <c r="F1058" i="1"/>
  <c r="T1057" i="1"/>
  <c r="P1057" i="1"/>
  <c r="H1057" i="1"/>
  <c r="F1057" i="1"/>
  <c r="T1056" i="1"/>
  <c r="P1056" i="1"/>
  <c r="H1056" i="1"/>
  <c r="F1056" i="1"/>
  <c r="T1055" i="1"/>
  <c r="P1055" i="1"/>
  <c r="H1055" i="1"/>
  <c r="F1055" i="1"/>
  <c r="T1054" i="1"/>
  <c r="P1054" i="1"/>
  <c r="H1054" i="1"/>
  <c r="F1054" i="1"/>
  <c r="T1053" i="1"/>
  <c r="P1053" i="1"/>
  <c r="H1053" i="1"/>
  <c r="F1053" i="1"/>
  <c r="T1052" i="1"/>
  <c r="P1052" i="1"/>
  <c r="H1052" i="1"/>
  <c r="F1052" i="1"/>
  <c r="T1051" i="1"/>
  <c r="P1051" i="1"/>
  <c r="H1051" i="1"/>
  <c r="F1051" i="1"/>
  <c r="T1050" i="1"/>
  <c r="P1050" i="1"/>
  <c r="H1050" i="1"/>
  <c r="F1050" i="1"/>
  <c r="T1049" i="1"/>
  <c r="P1049" i="1"/>
  <c r="H1049" i="1"/>
  <c r="F1049" i="1"/>
  <c r="T1048" i="1"/>
  <c r="P1048" i="1"/>
  <c r="H1048" i="1"/>
  <c r="F1048" i="1"/>
  <c r="T1047" i="1"/>
  <c r="P1047" i="1"/>
  <c r="H1047" i="1"/>
  <c r="F1047" i="1"/>
  <c r="T1046" i="1"/>
  <c r="P1046" i="1"/>
  <c r="H1046" i="1"/>
  <c r="F1046" i="1"/>
  <c r="T1045" i="1"/>
  <c r="P1045" i="1"/>
  <c r="H1045" i="1"/>
  <c r="F1045" i="1"/>
  <c r="T1044" i="1"/>
  <c r="P1044" i="1"/>
  <c r="H1044" i="1"/>
  <c r="F1044" i="1"/>
  <c r="T1043" i="1"/>
  <c r="P1043" i="1"/>
  <c r="H1043" i="1"/>
  <c r="F1043" i="1"/>
  <c r="T1042" i="1"/>
  <c r="P1042" i="1"/>
  <c r="H1042" i="1"/>
  <c r="F1042" i="1"/>
  <c r="T1041" i="1"/>
  <c r="P1041" i="1"/>
  <c r="H1041" i="1"/>
  <c r="F1041" i="1"/>
  <c r="T1040" i="1"/>
  <c r="P1040" i="1"/>
  <c r="H1040" i="1"/>
  <c r="F1040" i="1"/>
  <c r="T1039" i="1"/>
  <c r="P1039" i="1"/>
  <c r="H1039" i="1"/>
  <c r="F1039" i="1"/>
  <c r="T1038" i="1"/>
  <c r="P1038" i="1"/>
  <c r="H1038" i="1"/>
  <c r="F1038" i="1"/>
  <c r="T1037" i="1"/>
  <c r="P1037" i="1"/>
  <c r="H1037" i="1"/>
  <c r="F1037" i="1"/>
  <c r="T1036" i="1"/>
  <c r="P1036" i="1"/>
  <c r="H1036" i="1"/>
  <c r="F1036" i="1"/>
  <c r="T1035" i="1"/>
  <c r="P1035" i="1"/>
  <c r="H1035" i="1"/>
  <c r="F1035" i="1"/>
  <c r="T1034" i="1"/>
  <c r="P1034" i="1"/>
  <c r="H1034" i="1"/>
  <c r="F1034" i="1"/>
  <c r="T1033" i="1"/>
  <c r="P1033" i="1"/>
  <c r="H1033" i="1"/>
  <c r="F1033" i="1"/>
  <c r="T1032" i="1"/>
  <c r="P1032" i="1"/>
  <c r="H1032" i="1"/>
  <c r="F1032" i="1"/>
  <c r="T1031" i="1"/>
  <c r="P1031" i="1"/>
  <c r="H1031" i="1"/>
  <c r="F1031" i="1"/>
  <c r="T1030" i="1"/>
  <c r="P1030" i="1"/>
  <c r="H1030" i="1"/>
  <c r="F1030" i="1"/>
  <c r="T1029" i="1"/>
  <c r="P1029" i="1"/>
  <c r="H1029" i="1"/>
  <c r="F1029" i="1"/>
  <c r="T1028" i="1"/>
  <c r="P1028" i="1"/>
  <c r="H1028" i="1"/>
  <c r="F1028" i="1"/>
  <c r="T1027" i="1"/>
  <c r="P1027" i="1"/>
  <c r="H1027" i="1"/>
  <c r="F1027" i="1"/>
  <c r="T1026" i="1"/>
  <c r="P1026" i="1"/>
  <c r="H1026" i="1"/>
  <c r="F1026" i="1"/>
  <c r="T1025" i="1"/>
  <c r="P1025" i="1"/>
  <c r="H1025" i="1"/>
  <c r="F1025" i="1"/>
  <c r="T1024" i="1"/>
  <c r="P1024" i="1"/>
  <c r="H1024" i="1"/>
  <c r="F1024" i="1"/>
  <c r="T1023" i="1"/>
  <c r="P1023" i="1"/>
  <c r="H1023" i="1"/>
  <c r="F1023" i="1"/>
  <c r="T1022" i="1"/>
  <c r="P1022" i="1"/>
  <c r="H1022" i="1"/>
  <c r="F1022" i="1"/>
  <c r="T1021" i="1"/>
  <c r="P1021" i="1"/>
  <c r="H1021" i="1"/>
  <c r="F1021" i="1"/>
  <c r="T1020" i="1"/>
  <c r="P1020" i="1"/>
  <c r="H1020" i="1"/>
  <c r="F1020" i="1"/>
  <c r="T1019" i="1"/>
  <c r="P1019" i="1"/>
  <c r="H1019" i="1"/>
  <c r="F1019" i="1"/>
  <c r="T1018" i="1"/>
  <c r="P1018" i="1"/>
  <c r="H1018" i="1"/>
  <c r="F1018" i="1"/>
  <c r="T1017" i="1"/>
  <c r="P1017" i="1"/>
  <c r="H1017" i="1"/>
  <c r="F1017" i="1"/>
  <c r="T1016" i="1"/>
  <c r="P1016" i="1"/>
  <c r="H1016" i="1"/>
  <c r="F1016" i="1"/>
  <c r="T1015" i="1"/>
  <c r="P1015" i="1"/>
  <c r="H1015" i="1"/>
  <c r="F1015" i="1"/>
  <c r="T1014" i="1"/>
  <c r="P1014" i="1"/>
  <c r="H1014" i="1"/>
  <c r="F1014" i="1"/>
  <c r="T1013" i="1"/>
  <c r="P1013" i="1"/>
  <c r="H1013" i="1"/>
  <c r="F1013" i="1"/>
  <c r="T1012" i="1"/>
  <c r="P1012" i="1"/>
  <c r="H1012" i="1"/>
  <c r="F1012" i="1"/>
  <c r="T1011" i="1"/>
  <c r="P1011" i="1"/>
  <c r="H1011" i="1"/>
  <c r="F1011" i="1"/>
  <c r="T1010" i="1"/>
  <c r="P1010" i="1"/>
  <c r="H1010" i="1"/>
  <c r="F1010" i="1"/>
  <c r="T1009" i="1"/>
  <c r="P1009" i="1"/>
  <c r="H1009" i="1"/>
  <c r="F1009" i="1"/>
  <c r="T1008" i="1"/>
  <c r="P1008" i="1"/>
  <c r="H1008" i="1"/>
  <c r="F1008" i="1"/>
  <c r="T1007" i="1"/>
  <c r="P1007" i="1"/>
  <c r="H1007" i="1"/>
  <c r="F1007" i="1"/>
  <c r="T1006" i="1"/>
  <c r="P1006" i="1"/>
  <c r="H1006" i="1"/>
  <c r="F1006" i="1"/>
  <c r="T1005" i="1"/>
  <c r="P1005" i="1"/>
  <c r="H1005" i="1"/>
  <c r="F1005" i="1"/>
  <c r="T1004" i="1"/>
  <c r="P1004" i="1"/>
  <c r="H1004" i="1"/>
  <c r="F1004" i="1"/>
  <c r="T1003" i="1"/>
  <c r="P1003" i="1"/>
  <c r="H1003" i="1"/>
  <c r="F1003" i="1"/>
  <c r="T1002" i="1"/>
  <c r="P1002" i="1"/>
  <c r="H1002" i="1"/>
  <c r="F1002" i="1"/>
  <c r="T1001" i="1"/>
  <c r="P1001" i="1"/>
  <c r="H1001" i="1"/>
  <c r="F1001" i="1"/>
  <c r="T1000" i="1"/>
  <c r="P1000" i="1"/>
  <c r="H1000" i="1"/>
  <c r="F1000" i="1"/>
  <c r="T999" i="1"/>
  <c r="P999" i="1"/>
  <c r="H999" i="1"/>
  <c r="F999" i="1"/>
  <c r="T998" i="1"/>
  <c r="P998" i="1"/>
  <c r="H998" i="1"/>
  <c r="F998" i="1"/>
  <c r="T997" i="1"/>
  <c r="P997" i="1"/>
  <c r="H997" i="1"/>
  <c r="F997" i="1"/>
  <c r="T996" i="1"/>
  <c r="P996" i="1"/>
  <c r="H996" i="1"/>
  <c r="F996" i="1"/>
  <c r="T995" i="1"/>
  <c r="P995" i="1"/>
  <c r="H995" i="1"/>
  <c r="F995" i="1"/>
  <c r="T994" i="1"/>
  <c r="P994" i="1"/>
  <c r="H994" i="1"/>
  <c r="F994" i="1"/>
  <c r="T993" i="1"/>
  <c r="P993" i="1"/>
  <c r="H993" i="1"/>
  <c r="F993" i="1"/>
  <c r="T992" i="1"/>
  <c r="P992" i="1"/>
  <c r="H992" i="1"/>
  <c r="F992" i="1"/>
  <c r="T991" i="1"/>
  <c r="P991" i="1"/>
  <c r="H991" i="1"/>
  <c r="F991" i="1"/>
  <c r="T990" i="1"/>
  <c r="P990" i="1"/>
  <c r="H990" i="1"/>
  <c r="F990" i="1"/>
  <c r="T989" i="1"/>
  <c r="P989" i="1"/>
  <c r="H989" i="1"/>
  <c r="F989" i="1"/>
  <c r="T988" i="1"/>
  <c r="P988" i="1"/>
  <c r="H988" i="1"/>
  <c r="F988" i="1"/>
  <c r="T987" i="1"/>
  <c r="P987" i="1"/>
  <c r="H987" i="1"/>
  <c r="F987" i="1"/>
  <c r="T986" i="1"/>
  <c r="P986" i="1"/>
  <c r="H986" i="1"/>
  <c r="F986" i="1"/>
  <c r="T985" i="1"/>
  <c r="P985" i="1"/>
  <c r="H985" i="1"/>
  <c r="F985" i="1"/>
  <c r="T984" i="1"/>
  <c r="P984" i="1"/>
  <c r="H984" i="1"/>
  <c r="F984" i="1"/>
  <c r="T983" i="1"/>
  <c r="P983" i="1"/>
  <c r="H983" i="1"/>
  <c r="F983" i="1"/>
  <c r="T982" i="1"/>
  <c r="P982" i="1"/>
  <c r="H982" i="1"/>
  <c r="F982" i="1"/>
  <c r="T981" i="1"/>
  <c r="P981" i="1"/>
  <c r="H981" i="1"/>
  <c r="F981" i="1"/>
  <c r="T980" i="1"/>
  <c r="P980" i="1"/>
  <c r="H980" i="1"/>
  <c r="F980" i="1"/>
  <c r="T979" i="1"/>
  <c r="P979" i="1"/>
  <c r="H979" i="1"/>
  <c r="F979" i="1"/>
  <c r="T978" i="1"/>
  <c r="P978" i="1"/>
  <c r="H978" i="1"/>
  <c r="F978" i="1"/>
  <c r="T977" i="1"/>
  <c r="P977" i="1"/>
  <c r="H977" i="1"/>
  <c r="F977" i="1"/>
  <c r="T976" i="1"/>
  <c r="P976" i="1"/>
  <c r="H976" i="1"/>
  <c r="F976" i="1"/>
  <c r="T975" i="1"/>
  <c r="P975" i="1"/>
  <c r="H975" i="1"/>
  <c r="F975" i="1"/>
  <c r="T974" i="1"/>
  <c r="P974" i="1"/>
  <c r="H974" i="1"/>
  <c r="F974" i="1"/>
  <c r="T973" i="1"/>
  <c r="P973" i="1"/>
  <c r="H973" i="1"/>
  <c r="F973" i="1"/>
  <c r="T972" i="1"/>
  <c r="P972" i="1"/>
  <c r="H972" i="1"/>
  <c r="F972" i="1"/>
  <c r="T971" i="1"/>
  <c r="P971" i="1"/>
  <c r="H971" i="1"/>
  <c r="F971" i="1"/>
  <c r="T970" i="1"/>
  <c r="P970" i="1"/>
  <c r="H970" i="1"/>
  <c r="F970" i="1"/>
  <c r="T969" i="1"/>
  <c r="P969" i="1"/>
  <c r="H969" i="1"/>
  <c r="F969" i="1"/>
  <c r="T968" i="1"/>
  <c r="P968" i="1"/>
  <c r="H968" i="1"/>
  <c r="F968" i="1"/>
  <c r="T967" i="1"/>
  <c r="P967" i="1"/>
  <c r="H967" i="1"/>
  <c r="F967" i="1"/>
  <c r="T966" i="1"/>
  <c r="P966" i="1"/>
  <c r="H966" i="1"/>
  <c r="F966" i="1"/>
  <c r="T965" i="1"/>
  <c r="P965" i="1"/>
  <c r="H965" i="1"/>
  <c r="F965" i="1"/>
  <c r="T964" i="1"/>
  <c r="P964" i="1"/>
  <c r="H964" i="1"/>
  <c r="F964" i="1"/>
  <c r="T963" i="1"/>
  <c r="P963" i="1"/>
  <c r="H963" i="1"/>
  <c r="F963" i="1"/>
  <c r="T962" i="1"/>
  <c r="P962" i="1"/>
  <c r="H962" i="1"/>
  <c r="F962" i="1"/>
  <c r="T961" i="1"/>
  <c r="P961" i="1"/>
  <c r="H961" i="1"/>
  <c r="F961" i="1"/>
  <c r="T960" i="1"/>
  <c r="P960" i="1"/>
  <c r="H960" i="1"/>
  <c r="F960" i="1"/>
  <c r="T959" i="1"/>
  <c r="P959" i="1"/>
  <c r="H959" i="1"/>
  <c r="F959" i="1"/>
  <c r="T958" i="1"/>
  <c r="P958" i="1"/>
  <c r="H958" i="1"/>
  <c r="F958" i="1"/>
  <c r="T957" i="1"/>
  <c r="P957" i="1"/>
  <c r="H957" i="1"/>
  <c r="F957" i="1"/>
  <c r="T956" i="1"/>
  <c r="P956" i="1"/>
  <c r="H956" i="1"/>
  <c r="F956" i="1"/>
  <c r="T955" i="1"/>
  <c r="P955" i="1"/>
  <c r="H955" i="1"/>
  <c r="F955" i="1"/>
  <c r="T954" i="1"/>
  <c r="P954" i="1"/>
  <c r="H954" i="1"/>
  <c r="F954" i="1"/>
  <c r="T953" i="1"/>
  <c r="P953" i="1"/>
  <c r="H953" i="1"/>
  <c r="F953" i="1"/>
  <c r="T952" i="1"/>
  <c r="P952" i="1"/>
  <c r="H952" i="1"/>
  <c r="F952" i="1"/>
  <c r="T951" i="1"/>
  <c r="P951" i="1"/>
  <c r="H951" i="1"/>
  <c r="F951" i="1"/>
  <c r="T950" i="1"/>
  <c r="P950" i="1"/>
  <c r="H950" i="1"/>
  <c r="F950" i="1"/>
  <c r="T949" i="1"/>
  <c r="P949" i="1"/>
  <c r="H949" i="1"/>
  <c r="F949" i="1"/>
  <c r="T948" i="1"/>
  <c r="P948" i="1"/>
  <c r="H948" i="1"/>
  <c r="F948" i="1"/>
  <c r="T947" i="1"/>
  <c r="P947" i="1"/>
  <c r="H947" i="1"/>
  <c r="F947" i="1"/>
  <c r="T946" i="1"/>
  <c r="P946" i="1"/>
  <c r="H946" i="1"/>
  <c r="F946" i="1"/>
  <c r="T945" i="1"/>
  <c r="P945" i="1"/>
  <c r="H945" i="1"/>
  <c r="F945" i="1"/>
  <c r="T944" i="1"/>
  <c r="P944" i="1"/>
  <c r="H944" i="1"/>
  <c r="F944" i="1"/>
  <c r="T943" i="1"/>
  <c r="P943" i="1"/>
  <c r="H943" i="1"/>
  <c r="F943" i="1"/>
  <c r="T942" i="1"/>
  <c r="P942" i="1"/>
  <c r="H942" i="1"/>
  <c r="F942" i="1"/>
  <c r="T941" i="1"/>
  <c r="P941" i="1"/>
  <c r="H941" i="1"/>
  <c r="F941" i="1"/>
  <c r="T940" i="1"/>
  <c r="P940" i="1"/>
  <c r="H940" i="1"/>
  <c r="F940" i="1"/>
  <c r="T939" i="1"/>
  <c r="P939" i="1"/>
  <c r="H939" i="1"/>
  <c r="F939" i="1"/>
  <c r="T938" i="1"/>
  <c r="P938" i="1"/>
  <c r="H938" i="1"/>
  <c r="F938" i="1"/>
  <c r="T937" i="1"/>
  <c r="P937" i="1"/>
  <c r="H937" i="1"/>
  <c r="F937" i="1"/>
  <c r="T936" i="1"/>
  <c r="P936" i="1"/>
  <c r="H936" i="1"/>
  <c r="F936" i="1"/>
  <c r="T935" i="1"/>
  <c r="P935" i="1"/>
  <c r="H935" i="1"/>
  <c r="F935" i="1"/>
  <c r="T934" i="1"/>
  <c r="P934" i="1"/>
  <c r="H934" i="1"/>
  <c r="F934" i="1"/>
  <c r="T933" i="1"/>
  <c r="P933" i="1"/>
  <c r="H933" i="1"/>
  <c r="F933" i="1"/>
  <c r="T932" i="1"/>
  <c r="P932" i="1"/>
  <c r="H932" i="1"/>
  <c r="F932" i="1"/>
  <c r="T931" i="1"/>
  <c r="P931" i="1"/>
  <c r="H931" i="1"/>
  <c r="F931" i="1"/>
  <c r="T930" i="1"/>
  <c r="P930" i="1"/>
  <c r="H930" i="1"/>
  <c r="F930" i="1"/>
  <c r="T929" i="1"/>
  <c r="P929" i="1"/>
  <c r="H929" i="1"/>
  <c r="F929" i="1"/>
  <c r="T928" i="1"/>
  <c r="P928" i="1"/>
  <c r="H928" i="1"/>
  <c r="F928" i="1"/>
  <c r="T927" i="1"/>
  <c r="P927" i="1"/>
  <c r="H927" i="1"/>
  <c r="F927" i="1"/>
  <c r="T926" i="1"/>
  <c r="P926" i="1"/>
  <c r="H926" i="1"/>
  <c r="F926" i="1"/>
  <c r="T925" i="1"/>
  <c r="P925" i="1"/>
  <c r="H925" i="1"/>
  <c r="F925" i="1"/>
  <c r="T924" i="1"/>
  <c r="P924" i="1"/>
  <c r="H924" i="1"/>
  <c r="F924" i="1"/>
  <c r="T923" i="1"/>
  <c r="P923" i="1"/>
  <c r="H923" i="1"/>
  <c r="F923" i="1"/>
  <c r="T922" i="1"/>
  <c r="P922" i="1"/>
  <c r="H922" i="1"/>
  <c r="F922" i="1"/>
  <c r="T921" i="1"/>
  <c r="P921" i="1"/>
  <c r="H921" i="1"/>
  <c r="F921" i="1"/>
  <c r="T920" i="1"/>
  <c r="P920" i="1"/>
  <c r="H920" i="1"/>
  <c r="F920" i="1"/>
  <c r="T919" i="1"/>
  <c r="P919" i="1"/>
  <c r="H919" i="1"/>
  <c r="F919" i="1"/>
  <c r="T918" i="1"/>
  <c r="P918" i="1"/>
  <c r="H918" i="1"/>
  <c r="F918" i="1"/>
  <c r="T917" i="1"/>
  <c r="P917" i="1"/>
  <c r="H917" i="1"/>
  <c r="F917" i="1"/>
  <c r="T916" i="1"/>
  <c r="P916" i="1"/>
  <c r="H916" i="1"/>
  <c r="F916" i="1"/>
  <c r="T915" i="1"/>
  <c r="P915" i="1"/>
  <c r="H915" i="1"/>
  <c r="F915" i="1"/>
  <c r="T914" i="1"/>
  <c r="P914" i="1"/>
  <c r="H914" i="1"/>
  <c r="F914" i="1"/>
  <c r="T913" i="1"/>
  <c r="P913" i="1"/>
  <c r="H913" i="1"/>
  <c r="F913" i="1"/>
  <c r="T912" i="1"/>
  <c r="P912" i="1"/>
  <c r="H912" i="1"/>
  <c r="F912" i="1"/>
  <c r="T911" i="1"/>
  <c r="P911" i="1"/>
  <c r="H911" i="1"/>
  <c r="F911" i="1"/>
  <c r="T910" i="1"/>
  <c r="P910" i="1"/>
  <c r="H910" i="1"/>
  <c r="F910" i="1"/>
  <c r="T909" i="1"/>
  <c r="P909" i="1"/>
  <c r="H909" i="1"/>
  <c r="F909" i="1"/>
  <c r="T908" i="1"/>
  <c r="P908" i="1"/>
  <c r="H908" i="1"/>
  <c r="F908" i="1"/>
  <c r="T907" i="1"/>
  <c r="P907" i="1"/>
  <c r="H907" i="1"/>
  <c r="F907" i="1"/>
  <c r="T906" i="1"/>
  <c r="P906" i="1"/>
  <c r="H906" i="1"/>
  <c r="F906" i="1"/>
  <c r="T905" i="1"/>
  <c r="P905" i="1"/>
  <c r="H905" i="1"/>
  <c r="F905" i="1"/>
  <c r="T904" i="1"/>
  <c r="P904" i="1"/>
  <c r="H904" i="1"/>
  <c r="F904" i="1"/>
  <c r="T903" i="1"/>
  <c r="P903" i="1"/>
  <c r="H903" i="1"/>
  <c r="F903" i="1"/>
  <c r="T902" i="1"/>
  <c r="P902" i="1"/>
  <c r="H902" i="1"/>
  <c r="F902" i="1"/>
  <c r="T901" i="1"/>
  <c r="P901" i="1"/>
  <c r="H901" i="1"/>
  <c r="F901" i="1"/>
  <c r="T900" i="1"/>
  <c r="P900" i="1"/>
  <c r="H900" i="1"/>
  <c r="F900" i="1"/>
  <c r="T899" i="1"/>
  <c r="P899" i="1"/>
  <c r="H899" i="1"/>
  <c r="F899" i="1"/>
  <c r="T898" i="1"/>
  <c r="P898" i="1"/>
  <c r="H898" i="1"/>
  <c r="F898" i="1"/>
  <c r="T897" i="1"/>
  <c r="P897" i="1"/>
  <c r="H897" i="1"/>
  <c r="F897" i="1"/>
  <c r="T896" i="1"/>
  <c r="P896" i="1"/>
  <c r="H896" i="1"/>
  <c r="F896" i="1"/>
  <c r="T895" i="1"/>
  <c r="P895" i="1"/>
  <c r="H895" i="1"/>
  <c r="F895" i="1"/>
  <c r="T894" i="1"/>
  <c r="P894" i="1"/>
  <c r="H894" i="1"/>
  <c r="F894" i="1"/>
  <c r="T893" i="1"/>
  <c r="P893" i="1"/>
  <c r="H893" i="1"/>
  <c r="F893" i="1"/>
  <c r="T892" i="1"/>
  <c r="P892" i="1"/>
  <c r="H892" i="1"/>
  <c r="F892" i="1"/>
  <c r="T891" i="1"/>
  <c r="P891" i="1"/>
  <c r="H891" i="1"/>
  <c r="F891" i="1"/>
  <c r="T890" i="1"/>
  <c r="P890" i="1"/>
  <c r="H890" i="1"/>
  <c r="F890" i="1"/>
  <c r="T889" i="1"/>
  <c r="P889" i="1"/>
  <c r="H889" i="1"/>
  <c r="F889" i="1"/>
  <c r="T888" i="1"/>
  <c r="P888" i="1"/>
  <c r="H888" i="1"/>
  <c r="F888" i="1"/>
  <c r="T887" i="1"/>
  <c r="P887" i="1"/>
  <c r="H887" i="1"/>
  <c r="F887" i="1"/>
  <c r="T886" i="1"/>
  <c r="P886" i="1"/>
  <c r="H886" i="1"/>
  <c r="F886" i="1"/>
  <c r="T885" i="1"/>
  <c r="P885" i="1"/>
  <c r="H885" i="1"/>
  <c r="F885" i="1"/>
  <c r="T884" i="1"/>
  <c r="P884" i="1"/>
  <c r="H884" i="1"/>
  <c r="F884" i="1"/>
  <c r="T883" i="1"/>
  <c r="P883" i="1"/>
  <c r="H883" i="1"/>
  <c r="F883" i="1"/>
  <c r="T882" i="1"/>
  <c r="P882" i="1"/>
  <c r="H882" i="1"/>
  <c r="F882" i="1"/>
  <c r="T881" i="1"/>
  <c r="P881" i="1"/>
  <c r="H881" i="1"/>
  <c r="F881" i="1"/>
  <c r="T880" i="1"/>
  <c r="P880" i="1"/>
  <c r="H880" i="1"/>
  <c r="F880" i="1"/>
  <c r="T879" i="1"/>
  <c r="P879" i="1"/>
  <c r="H879" i="1"/>
  <c r="F879" i="1"/>
  <c r="T878" i="1"/>
  <c r="P878" i="1"/>
  <c r="H878" i="1"/>
  <c r="F878" i="1"/>
  <c r="T877" i="1"/>
  <c r="P877" i="1"/>
  <c r="H877" i="1"/>
  <c r="F877" i="1"/>
  <c r="T876" i="1"/>
  <c r="P876" i="1"/>
  <c r="H876" i="1"/>
  <c r="F876" i="1"/>
  <c r="T875" i="1"/>
  <c r="P875" i="1"/>
  <c r="H875" i="1"/>
  <c r="F875" i="1"/>
  <c r="T874" i="1"/>
  <c r="P874" i="1"/>
  <c r="H874" i="1"/>
  <c r="F874" i="1"/>
  <c r="T873" i="1"/>
  <c r="P873" i="1"/>
  <c r="H873" i="1"/>
  <c r="F873" i="1"/>
  <c r="T872" i="1"/>
  <c r="P872" i="1"/>
  <c r="H872" i="1"/>
  <c r="F872" i="1"/>
  <c r="T871" i="1"/>
  <c r="P871" i="1"/>
  <c r="H871" i="1"/>
  <c r="F871" i="1"/>
  <c r="T870" i="1"/>
  <c r="P870" i="1"/>
  <c r="H870" i="1"/>
  <c r="F870" i="1"/>
  <c r="T869" i="1"/>
  <c r="P869" i="1"/>
  <c r="H869" i="1"/>
  <c r="F869" i="1"/>
  <c r="T868" i="1"/>
  <c r="P868" i="1"/>
  <c r="H868" i="1"/>
  <c r="F868" i="1"/>
  <c r="T867" i="1"/>
  <c r="P867" i="1"/>
  <c r="H867" i="1"/>
  <c r="F867" i="1"/>
  <c r="T866" i="1"/>
  <c r="P866" i="1"/>
  <c r="H866" i="1"/>
  <c r="F866" i="1"/>
  <c r="T865" i="1"/>
  <c r="P865" i="1"/>
  <c r="H865" i="1"/>
  <c r="F865" i="1"/>
  <c r="T864" i="1"/>
  <c r="P864" i="1"/>
  <c r="H864" i="1"/>
  <c r="F864" i="1"/>
  <c r="T863" i="1"/>
  <c r="P863" i="1"/>
  <c r="H863" i="1"/>
  <c r="F863" i="1"/>
  <c r="T862" i="1"/>
  <c r="P862" i="1"/>
  <c r="H862" i="1"/>
  <c r="F862" i="1"/>
  <c r="T861" i="1"/>
  <c r="P861" i="1"/>
  <c r="H861" i="1"/>
  <c r="F861" i="1"/>
  <c r="T860" i="1"/>
  <c r="P860" i="1"/>
  <c r="H860" i="1"/>
  <c r="F860" i="1"/>
  <c r="T859" i="1"/>
  <c r="P859" i="1"/>
  <c r="H859" i="1"/>
  <c r="F859" i="1"/>
  <c r="T858" i="1"/>
  <c r="P858" i="1"/>
  <c r="H858" i="1"/>
  <c r="F858" i="1"/>
  <c r="T857" i="1"/>
  <c r="P857" i="1"/>
  <c r="H857" i="1"/>
  <c r="F857" i="1"/>
  <c r="T856" i="1"/>
  <c r="P856" i="1"/>
  <c r="H856" i="1"/>
  <c r="F856" i="1"/>
  <c r="T855" i="1"/>
  <c r="P855" i="1"/>
  <c r="H855" i="1"/>
  <c r="F855" i="1"/>
  <c r="T854" i="1"/>
  <c r="P854" i="1"/>
  <c r="H854" i="1"/>
  <c r="F854" i="1"/>
  <c r="T853" i="1"/>
  <c r="P853" i="1"/>
  <c r="H853" i="1"/>
  <c r="F853" i="1"/>
  <c r="T852" i="1"/>
  <c r="P852" i="1"/>
  <c r="H852" i="1"/>
  <c r="F852" i="1"/>
  <c r="T851" i="1"/>
  <c r="P851" i="1"/>
  <c r="H851" i="1"/>
  <c r="F851" i="1"/>
  <c r="T850" i="1"/>
  <c r="P850" i="1"/>
  <c r="H850" i="1"/>
  <c r="F850" i="1"/>
  <c r="T849" i="1"/>
  <c r="P849" i="1"/>
  <c r="H849" i="1"/>
  <c r="F849" i="1"/>
  <c r="T848" i="1"/>
  <c r="P848" i="1"/>
  <c r="H848" i="1"/>
  <c r="F848" i="1"/>
  <c r="T847" i="1"/>
  <c r="P847" i="1"/>
  <c r="H847" i="1"/>
  <c r="F847" i="1"/>
  <c r="T846" i="1"/>
  <c r="P846" i="1"/>
  <c r="H846" i="1"/>
  <c r="F846" i="1"/>
  <c r="T845" i="1"/>
  <c r="P845" i="1"/>
  <c r="H845" i="1"/>
  <c r="F845" i="1"/>
  <c r="T844" i="1"/>
  <c r="P844" i="1"/>
  <c r="H844" i="1"/>
  <c r="F844" i="1"/>
  <c r="T843" i="1"/>
  <c r="P843" i="1"/>
  <c r="H843" i="1"/>
  <c r="F843" i="1"/>
  <c r="T842" i="1"/>
  <c r="P842" i="1"/>
  <c r="H842" i="1"/>
  <c r="F842" i="1"/>
  <c r="T841" i="1"/>
  <c r="P841" i="1"/>
  <c r="H841" i="1"/>
  <c r="F841" i="1"/>
  <c r="T840" i="1"/>
  <c r="P840" i="1"/>
  <c r="H840" i="1"/>
  <c r="F840" i="1"/>
  <c r="T839" i="1"/>
  <c r="P839" i="1"/>
  <c r="H839" i="1"/>
  <c r="F839" i="1"/>
  <c r="T838" i="1"/>
  <c r="P838" i="1"/>
  <c r="H838" i="1"/>
  <c r="F838" i="1"/>
  <c r="T837" i="1"/>
  <c r="P837" i="1"/>
  <c r="H837" i="1"/>
  <c r="F837" i="1"/>
  <c r="T836" i="1"/>
  <c r="P836" i="1"/>
  <c r="H836" i="1"/>
  <c r="F836" i="1"/>
  <c r="T835" i="1"/>
  <c r="P835" i="1"/>
  <c r="H835" i="1"/>
  <c r="F835" i="1"/>
  <c r="T834" i="1"/>
  <c r="P834" i="1"/>
  <c r="H834" i="1"/>
  <c r="F834" i="1"/>
  <c r="T833" i="1"/>
  <c r="P833" i="1"/>
  <c r="H833" i="1"/>
  <c r="F833" i="1"/>
  <c r="T832" i="1"/>
  <c r="P832" i="1"/>
  <c r="H832" i="1"/>
  <c r="F832" i="1"/>
  <c r="T831" i="1"/>
  <c r="P831" i="1"/>
  <c r="H831" i="1"/>
  <c r="F831" i="1"/>
  <c r="T830" i="1"/>
  <c r="P830" i="1"/>
  <c r="H830" i="1"/>
  <c r="F830" i="1"/>
  <c r="T829" i="1"/>
  <c r="P829" i="1"/>
  <c r="H829" i="1"/>
  <c r="F829" i="1"/>
  <c r="T828" i="1"/>
  <c r="P828" i="1"/>
  <c r="H828" i="1"/>
  <c r="F828" i="1"/>
  <c r="T827" i="1"/>
  <c r="P827" i="1"/>
  <c r="H827" i="1"/>
  <c r="F827" i="1"/>
  <c r="T826" i="1"/>
  <c r="P826" i="1"/>
  <c r="H826" i="1"/>
  <c r="F826" i="1"/>
  <c r="T825" i="1"/>
  <c r="P825" i="1"/>
  <c r="H825" i="1"/>
  <c r="F825" i="1"/>
  <c r="T824" i="1"/>
  <c r="P824" i="1"/>
  <c r="H824" i="1"/>
  <c r="F824" i="1"/>
  <c r="T823" i="1"/>
  <c r="P823" i="1"/>
  <c r="H823" i="1"/>
  <c r="F823" i="1"/>
  <c r="T822" i="1"/>
  <c r="P822" i="1"/>
  <c r="H822" i="1"/>
  <c r="F822" i="1"/>
  <c r="T821" i="1"/>
  <c r="P821" i="1"/>
  <c r="H821" i="1"/>
  <c r="F821" i="1"/>
  <c r="T820" i="1"/>
  <c r="P820" i="1"/>
  <c r="H820" i="1"/>
  <c r="F820" i="1"/>
  <c r="T819" i="1"/>
  <c r="P819" i="1"/>
  <c r="H819" i="1"/>
  <c r="F819" i="1"/>
  <c r="T818" i="1"/>
  <c r="P818" i="1"/>
  <c r="H818" i="1"/>
  <c r="F818" i="1"/>
  <c r="T817" i="1"/>
  <c r="P817" i="1"/>
  <c r="H817" i="1"/>
  <c r="F817" i="1"/>
  <c r="T816" i="1"/>
  <c r="P816" i="1"/>
  <c r="H816" i="1"/>
  <c r="F816" i="1"/>
  <c r="T815" i="1"/>
  <c r="P815" i="1"/>
  <c r="H815" i="1"/>
  <c r="F815" i="1"/>
  <c r="T814" i="1"/>
  <c r="P814" i="1"/>
  <c r="H814" i="1"/>
  <c r="F814" i="1"/>
  <c r="T813" i="1"/>
  <c r="P813" i="1"/>
  <c r="H813" i="1"/>
  <c r="F813" i="1"/>
  <c r="T812" i="1"/>
  <c r="P812" i="1"/>
  <c r="H812" i="1"/>
  <c r="F812" i="1"/>
  <c r="T811" i="1"/>
  <c r="P811" i="1"/>
  <c r="H811" i="1"/>
  <c r="F811" i="1"/>
  <c r="T810" i="1"/>
  <c r="P810" i="1"/>
  <c r="H810" i="1"/>
  <c r="F810" i="1"/>
  <c r="T809" i="1"/>
  <c r="P809" i="1"/>
  <c r="H809" i="1"/>
  <c r="F809" i="1"/>
  <c r="T808" i="1"/>
  <c r="P808" i="1"/>
  <c r="H808" i="1"/>
  <c r="F808" i="1"/>
  <c r="T807" i="1"/>
  <c r="P807" i="1"/>
  <c r="H807" i="1"/>
  <c r="F807" i="1"/>
  <c r="T806" i="1"/>
  <c r="P806" i="1"/>
  <c r="H806" i="1"/>
  <c r="F806" i="1"/>
  <c r="T805" i="1"/>
  <c r="P805" i="1"/>
  <c r="H805" i="1"/>
  <c r="F805" i="1"/>
  <c r="T804" i="1"/>
  <c r="P804" i="1"/>
  <c r="H804" i="1"/>
  <c r="F804" i="1"/>
  <c r="T803" i="1"/>
  <c r="P803" i="1"/>
  <c r="H803" i="1"/>
  <c r="F803" i="1"/>
  <c r="T802" i="1"/>
  <c r="P802" i="1"/>
  <c r="H802" i="1"/>
  <c r="F802" i="1"/>
  <c r="T801" i="1"/>
  <c r="P801" i="1"/>
  <c r="H801" i="1"/>
  <c r="F801" i="1"/>
  <c r="T800" i="1"/>
  <c r="P800" i="1"/>
  <c r="H800" i="1"/>
  <c r="F800" i="1"/>
  <c r="T799" i="1"/>
  <c r="P799" i="1"/>
  <c r="H799" i="1"/>
  <c r="F799" i="1"/>
  <c r="T798" i="1"/>
  <c r="P798" i="1"/>
  <c r="H798" i="1"/>
  <c r="F798" i="1"/>
  <c r="T797" i="1"/>
  <c r="P797" i="1"/>
  <c r="H797" i="1"/>
  <c r="F797" i="1"/>
  <c r="T796" i="1"/>
  <c r="P796" i="1"/>
  <c r="H796" i="1"/>
  <c r="F796" i="1"/>
  <c r="T795" i="1"/>
  <c r="P795" i="1"/>
  <c r="H795" i="1"/>
  <c r="F795" i="1"/>
  <c r="T794" i="1"/>
  <c r="P794" i="1"/>
  <c r="H794" i="1"/>
  <c r="F794" i="1"/>
  <c r="T793" i="1"/>
  <c r="P793" i="1"/>
  <c r="H793" i="1"/>
  <c r="F793" i="1"/>
  <c r="T792" i="1"/>
  <c r="P792" i="1"/>
  <c r="H792" i="1"/>
  <c r="F792" i="1"/>
  <c r="T791" i="1"/>
  <c r="P791" i="1"/>
  <c r="H791" i="1"/>
  <c r="F791" i="1"/>
  <c r="T790" i="1"/>
  <c r="P790" i="1"/>
  <c r="H790" i="1"/>
  <c r="F790" i="1"/>
  <c r="T789" i="1"/>
  <c r="P789" i="1"/>
  <c r="H789" i="1"/>
  <c r="F789" i="1"/>
  <c r="T788" i="1"/>
  <c r="P788" i="1"/>
  <c r="H788" i="1"/>
  <c r="F788" i="1"/>
  <c r="T787" i="1"/>
  <c r="P787" i="1"/>
  <c r="H787" i="1"/>
  <c r="F787" i="1"/>
  <c r="T786" i="1"/>
  <c r="P786" i="1"/>
  <c r="H786" i="1"/>
  <c r="F786" i="1"/>
  <c r="T785" i="1"/>
  <c r="P785" i="1"/>
  <c r="H785" i="1"/>
  <c r="F785" i="1"/>
  <c r="T784" i="1"/>
  <c r="P784" i="1"/>
  <c r="H784" i="1"/>
  <c r="F784" i="1"/>
  <c r="T783" i="1"/>
  <c r="P783" i="1"/>
  <c r="H783" i="1"/>
  <c r="F783" i="1"/>
  <c r="T782" i="1"/>
  <c r="P782" i="1"/>
  <c r="H782" i="1"/>
  <c r="F782" i="1"/>
  <c r="T781" i="1"/>
  <c r="P781" i="1"/>
  <c r="H781" i="1"/>
  <c r="F781" i="1"/>
  <c r="T780" i="1"/>
  <c r="P780" i="1"/>
  <c r="H780" i="1"/>
  <c r="F780" i="1"/>
  <c r="T779" i="1"/>
  <c r="P779" i="1"/>
  <c r="H779" i="1"/>
  <c r="F779" i="1"/>
  <c r="T778" i="1"/>
  <c r="P778" i="1"/>
  <c r="H778" i="1"/>
  <c r="F778" i="1"/>
  <c r="T777" i="1"/>
  <c r="P777" i="1"/>
  <c r="H777" i="1"/>
  <c r="F777" i="1"/>
  <c r="T776" i="1"/>
  <c r="P776" i="1"/>
  <c r="H776" i="1"/>
  <c r="F776" i="1"/>
  <c r="T775" i="1"/>
  <c r="P775" i="1"/>
  <c r="H775" i="1"/>
  <c r="F775" i="1"/>
  <c r="T774" i="1"/>
  <c r="P774" i="1"/>
  <c r="H774" i="1"/>
  <c r="F774" i="1"/>
  <c r="T773" i="1"/>
  <c r="P773" i="1"/>
  <c r="H773" i="1"/>
  <c r="F773" i="1"/>
  <c r="T772" i="1"/>
  <c r="P772" i="1"/>
  <c r="H772" i="1"/>
  <c r="F772" i="1"/>
  <c r="T771" i="1"/>
  <c r="P771" i="1"/>
  <c r="H771" i="1"/>
  <c r="F771" i="1"/>
  <c r="T770" i="1"/>
  <c r="P770" i="1"/>
  <c r="H770" i="1"/>
  <c r="F770" i="1"/>
  <c r="T769" i="1"/>
  <c r="P769" i="1"/>
  <c r="H769" i="1"/>
  <c r="F769" i="1"/>
  <c r="T768" i="1"/>
  <c r="P768" i="1"/>
  <c r="H768" i="1"/>
  <c r="F768" i="1"/>
  <c r="T767" i="1"/>
  <c r="P767" i="1"/>
  <c r="H767" i="1"/>
  <c r="F767" i="1"/>
  <c r="T766" i="1"/>
  <c r="P766" i="1"/>
  <c r="H766" i="1"/>
  <c r="F766" i="1"/>
  <c r="T765" i="1"/>
  <c r="P765" i="1"/>
  <c r="H765" i="1"/>
  <c r="F765" i="1"/>
  <c r="T764" i="1"/>
  <c r="P764" i="1"/>
  <c r="H764" i="1"/>
  <c r="F764" i="1"/>
  <c r="T763" i="1"/>
  <c r="P763" i="1"/>
  <c r="H763" i="1"/>
  <c r="F763" i="1"/>
  <c r="T762" i="1"/>
  <c r="P762" i="1"/>
  <c r="H762" i="1"/>
  <c r="F762" i="1"/>
  <c r="T761" i="1"/>
  <c r="P761" i="1"/>
  <c r="H761" i="1"/>
  <c r="F761" i="1"/>
  <c r="T760" i="1"/>
  <c r="P760" i="1"/>
  <c r="H760" i="1"/>
  <c r="F760" i="1"/>
  <c r="T759" i="1"/>
  <c r="P759" i="1"/>
  <c r="H759" i="1"/>
  <c r="F759" i="1"/>
  <c r="T758" i="1"/>
  <c r="P758" i="1"/>
  <c r="H758" i="1"/>
  <c r="F758" i="1"/>
  <c r="T757" i="1"/>
  <c r="P757" i="1"/>
  <c r="H757" i="1"/>
  <c r="F757" i="1"/>
  <c r="T756" i="1"/>
  <c r="P756" i="1"/>
  <c r="H756" i="1"/>
  <c r="F756" i="1"/>
  <c r="T755" i="1"/>
  <c r="P755" i="1"/>
  <c r="H755" i="1"/>
  <c r="F755" i="1"/>
  <c r="T754" i="1"/>
  <c r="P754" i="1"/>
  <c r="H754" i="1"/>
  <c r="F754" i="1"/>
  <c r="T753" i="1"/>
  <c r="P753" i="1"/>
  <c r="H753" i="1"/>
  <c r="F753" i="1"/>
  <c r="T752" i="1"/>
  <c r="P752" i="1"/>
  <c r="H752" i="1"/>
  <c r="F752" i="1"/>
  <c r="T751" i="1"/>
  <c r="P751" i="1"/>
  <c r="H751" i="1"/>
  <c r="F751" i="1"/>
  <c r="T750" i="1"/>
  <c r="P750" i="1"/>
  <c r="H750" i="1"/>
  <c r="F750" i="1"/>
  <c r="T749" i="1"/>
  <c r="P749" i="1"/>
  <c r="H749" i="1"/>
  <c r="F749" i="1"/>
  <c r="T748" i="1"/>
  <c r="P748" i="1"/>
  <c r="H748" i="1"/>
  <c r="F748" i="1"/>
  <c r="T747" i="1"/>
  <c r="P747" i="1"/>
  <c r="H747" i="1"/>
  <c r="F747" i="1"/>
  <c r="T746" i="1"/>
  <c r="P746" i="1"/>
  <c r="H746" i="1"/>
  <c r="F746" i="1"/>
  <c r="T745" i="1"/>
  <c r="P745" i="1"/>
  <c r="H745" i="1"/>
  <c r="F745" i="1"/>
  <c r="T744" i="1"/>
  <c r="P744" i="1"/>
  <c r="H744" i="1"/>
  <c r="F744" i="1"/>
  <c r="T743" i="1"/>
  <c r="P743" i="1"/>
  <c r="H743" i="1"/>
  <c r="F743" i="1"/>
  <c r="T742" i="1"/>
  <c r="P742" i="1"/>
  <c r="H742" i="1"/>
  <c r="F742" i="1"/>
  <c r="T741" i="1"/>
  <c r="P741" i="1"/>
  <c r="H741" i="1"/>
  <c r="F741" i="1"/>
  <c r="T740" i="1"/>
  <c r="P740" i="1"/>
  <c r="H740" i="1"/>
  <c r="F740" i="1"/>
  <c r="T739" i="1"/>
  <c r="P739" i="1"/>
  <c r="H739" i="1"/>
  <c r="F739" i="1"/>
  <c r="T738" i="1"/>
  <c r="P738" i="1"/>
  <c r="H738" i="1"/>
  <c r="F738" i="1"/>
  <c r="T737" i="1"/>
  <c r="P737" i="1"/>
  <c r="H737" i="1"/>
  <c r="F737" i="1"/>
  <c r="T736" i="1"/>
  <c r="P736" i="1"/>
  <c r="H736" i="1"/>
  <c r="F736" i="1"/>
  <c r="T735" i="1"/>
  <c r="P735" i="1"/>
  <c r="H735" i="1"/>
  <c r="F735" i="1"/>
  <c r="T734" i="1"/>
  <c r="P734" i="1"/>
  <c r="H734" i="1"/>
  <c r="F734" i="1"/>
  <c r="T733" i="1"/>
  <c r="P733" i="1"/>
  <c r="H733" i="1"/>
  <c r="F733" i="1"/>
  <c r="T732" i="1"/>
  <c r="P732" i="1"/>
  <c r="H732" i="1"/>
  <c r="F732" i="1"/>
  <c r="T731" i="1"/>
  <c r="P731" i="1"/>
  <c r="H731" i="1"/>
  <c r="F731" i="1"/>
  <c r="T730" i="1"/>
  <c r="P730" i="1"/>
  <c r="H730" i="1"/>
  <c r="F730" i="1"/>
  <c r="T729" i="1"/>
  <c r="P729" i="1"/>
  <c r="H729" i="1"/>
  <c r="F729" i="1"/>
  <c r="T728" i="1"/>
  <c r="P728" i="1"/>
  <c r="H728" i="1"/>
  <c r="F728" i="1"/>
  <c r="T727" i="1"/>
  <c r="P727" i="1"/>
  <c r="H727" i="1"/>
  <c r="F727" i="1"/>
  <c r="T726" i="1"/>
  <c r="P726" i="1"/>
  <c r="H726" i="1"/>
  <c r="F726" i="1"/>
  <c r="T725" i="1"/>
  <c r="P725" i="1"/>
  <c r="H725" i="1"/>
  <c r="F725" i="1"/>
  <c r="T724" i="1"/>
  <c r="P724" i="1"/>
  <c r="H724" i="1"/>
  <c r="F724" i="1"/>
  <c r="T723" i="1"/>
  <c r="P723" i="1"/>
  <c r="H723" i="1"/>
  <c r="F723" i="1"/>
  <c r="T722" i="1"/>
  <c r="P722" i="1"/>
  <c r="H722" i="1"/>
  <c r="F722" i="1"/>
  <c r="T721" i="1"/>
  <c r="P721" i="1"/>
  <c r="H721" i="1"/>
  <c r="F721" i="1"/>
  <c r="T720" i="1"/>
  <c r="P720" i="1"/>
  <c r="H720" i="1"/>
  <c r="F720" i="1"/>
  <c r="T719" i="1"/>
  <c r="P719" i="1"/>
  <c r="H719" i="1"/>
  <c r="F719" i="1"/>
  <c r="T718" i="1"/>
  <c r="P718" i="1"/>
  <c r="H718" i="1"/>
  <c r="F718" i="1"/>
  <c r="T717" i="1"/>
  <c r="P717" i="1"/>
  <c r="H717" i="1"/>
  <c r="F717" i="1"/>
  <c r="T716" i="1"/>
  <c r="P716" i="1"/>
  <c r="H716" i="1"/>
  <c r="F716" i="1"/>
  <c r="T715" i="1"/>
  <c r="P715" i="1"/>
  <c r="H715" i="1"/>
  <c r="F715" i="1"/>
  <c r="T714" i="1"/>
  <c r="P714" i="1"/>
  <c r="H714" i="1"/>
  <c r="F714" i="1"/>
  <c r="T713" i="1"/>
  <c r="P713" i="1"/>
  <c r="H713" i="1"/>
  <c r="F713" i="1"/>
  <c r="T712" i="1"/>
  <c r="P712" i="1"/>
  <c r="H712" i="1"/>
  <c r="F712" i="1"/>
  <c r="T711" i="1"/>
  <c r="P711" i="1"/>
  <c r="H711" i="1"/>
  <c r="F711" i="1"/>
  <c r="T710" i="1"/>
  <c r="P710" i="1"/>
  <c r="H710" i="1"/>
  <c r="F710" i="1"/>
  <c r="T709" i="1"/>
  <c r="P709" i="1"/>
  <c r="H709" i="1"/>
  <c r="F709" i="1"/>
  <c r="T708" i="1"/>
  <c r="P708" i="1"/>
  <c r="H708" i="1"/>
  <c r="F708" i="1"/>
  <c r="T707" i="1"/>
  <c r="P707" i="1"/>
  <c r="H707" i="1"/>
  <c r="F707" i="1"/>
  <c r="T706" i="1"/>
  <c r="P706" i="1"/>
  <c r="H706" i="1"/>
  <c r="F706" i="1"/>
  <c r="T705" i="1"/>
  <c r="P705" i="1"/>
  <c r="H705" i="1"/>
  <c r="F705" i="1"/>
  <c r="T704" i="1"/>
  <c r="P704" i="1"/>
  <c r="H704" i="1"/>
  <c r="F704" i="1"/>
  <c r="T703" i="1"/>
  <c r="P703" i="1"/>
  <c r="H703" i="1"/>
  <c r="F703" i="1"/>
  <c r="T702" i="1"/>
  <c r="P702" i="1"/>
  <c r="H702" i="1"/>
  <c r="F702" i="1"/>
  <c r="T701" i="1"/>
  <c r="P701" i="1"/>
  <c r="H701" i="1"/>
  <c r="F701" i="1"/>
  <c r="T700" i="1"/>
  <c r="P700" i="1"/>
  <c r="H700" i="1"/>
  <c r="F700" i="1"/>
  <c r="T699" i="1"/>
  <c r="P699" i="1"/>
  <c r="H699" i="1"/>
  <c r="F699" i="1"/>
  <c r="T698" i="1"/>
  <c r="P698" i="1"/>
  <c r="H698" i="1"/>
  <c r="F698" i="1"/>
  <c r="T697" i="1"/>
  <c r="P697" i="1"/>
  <c r="H697" i="1"/>
  <c r="F697" i="1"/>
  <c r="T696" i="1"/>
  <c r="J6" i="8" s="1"/>
  <c r="P696" i="1"/>
  <c r="I6" i="8" s="1"/>
  <c r="H696" i="1"/>
  <c r="F696" i="1"/>
  <c r="T695" i="1"/>
  <c r="P695" i="1"/>
  <c r="H695" i="1"/>
  <c r="F695" i="1"/>
  <c r="T694" i="1"/>
  <c r="P694" i="1"/>
  <c r="H694" i="1"/>
  <c r="F694" i="1"/>
  <c r="T693" i="1"/>
  <c r="P693" i="1"/>
  <c r="H693" i="1"/>
  <c r="F693" i="1"/>
  <c r="T692" i="1"/>
  <c r="P692" i="1"/>
  <c r="H692" i="1"/>
  <c r="F692" i="1"/>
  <c r="T691" i="1"/>
  <c r="P691" i="1"/>
  <c r="H691" i="1"/>
  <c r="F691" i="1"/>
  <c r="T690" i="1"/>
  <c r="P690" i="1"/>
  <c r="H690" i="1"/>
  <c r="F690" i="1"/>
  <c r="T689" i="1"/>
  <c r="P689" i="1"/>
  <c r="H689" i="1"/>
  <c r="F689" i="1"/>
  <c r="T688" i="1"/>
  <c r="P688" i="1"/>
  <c r="H688" i="1"/>
  <c r="F688" i="1"/>
  <c r="T687" i="1"/>
  <c r="P687" i="1"/>
  <c r="H687" i="1"/>
  <c r="F687" i="1"/>
  <c r="T686" i="1"/>
  <c r="P686" i="1"/>
  <c r="H686" i="1"/>
  <c r="F686" i="1"/>
  <c r="T685" i="1"/>
  <c r="P685" i="1"/>
  <c r="H685" i="1"/>
  <c r="F685" i="1"/>
  <c r="T684" i="1"/>
  <c r="P684" i="1"/>
  <c r="H684" i="1"/>
  <c r="F684" i="1"/>
  <c r="T683" i="1"/>
  <c r="P683" i="1"/>
  <c r="H683" i="1"/>
  <c r="F683" i="1"/>
  <c r="T682" i="1"/>
  <c r="P682" i="1"/>
  <c r="H682" i="1"/>
  <c r="F682" i="1"/>
  <c r="T681" i="1"/>
  <c r="P681" i="1"/>
  <c r="H681" i="1"/>
  <c r="F681" i="1"/>
  <c r="T680" i="1"/>
  <c r="P680" i="1"/>
  <c r="H680" i="1"/>
  <c r="F680" i="1"/>
  <c r="T679" i="1"/>
  <c r="P679" i="1"/>
  <c r="H679" i="1"/>
  <c r="F679" i="1"/>
  <c r="T678" i="1"/>
  <c r="P678" i="1"/>
  <c r="H678" i="1"/>
  <c r="F678" i="1"/>
  <c r="T677" i="1"/>
  <c r="P677" i="1"/>
  <c r="H677" i="1"/>
  <c r="F677" i="1"/>
  <c r="T676" i="1"/>
  <c r="P676" i="1"/>
  <c r="H676" i="1"/>
  <c r="F676" i="1"/>
  <c r="T675" i="1"/>
  <c r="P675" i="1"/>
  <c r="H675" i="1"/>
  <c r="F675" i="1"/>
  <c r="T674" i="1"/>
  <c r="P674" i="1"/>
  <c r="H674" i="1"/>
  <c r="F674" i="1"/>
  <c r="T673" i="1"/>
  <c r="P673" i="1"/>
  <c r="H673" i="1"/>
  <c r="F673" i="1"/>
  <c r="T672" i="1"/>
  <c r="P672" i="1"/>
  <c r="H672" i="1"/>
  <c r="F672" i="1"/>
  <c r="T671" i="1"/>
  <c r="P671" i="1"/>
  <c r="H671" i="1"/>
  <c r="F671" i="1"/>
  <c r="T670" i="1"/>
  <c r="P670" i="1"/>
  <c r="H670" i="1"/>
  <c r="F670" i="1"/>
  <c r="T669" i="1"/>
  <c r="P669" i="1"/>
  <c r="H669" i="1"/>
  <c r="F669" i="1"/>
  <c r="T668" i="1"/>
  <c r="P668" i="1"/>
  <c r="H668" i="1"/>
  <c r="F668" i="1"/>
  <c r="T667" i="1"/>
  <c r="P667" i="1"/>
  <c r="H667" i="1"/>
  <c r="F667" i="1"/>
  <c r="T666" i="1"/>
  <c r="P666" i="1"/>
  <c r="H666" i="1"/>
  <c r="F666" i="1"/>
  <c r="T665" i="1"/>
  <c r="P665" i="1"/>
  <c r="H665" i="1"/>
  <c r="F665" i="1"/>
  <c r="T664" i="1"/>
  <c r="P664" i="1"/>
  <c r="H664" i="1"/>
  <c r="F664" i="1"/>
  <c r="T663" i="1"/>
  <c r="P663" i="1"/>
  <c r="H663" i="1"/>
  <c r="F663" i="1"/>
  <c r="T662" i="1"/>
  <c r="P662" i="1"/>
  <c r="H662" i="1"/>
  <c r="F662" i="1"/>
  <c r="T661" i="1"/>
  <c r="P661" i="1"/>
  <c r="H661" i="1"/>
  <c r="F661" i="1"/>
  <c r="T660" i="1"/>
  <c r="P660" i="1"/>
  <c r="H660" i="1"/>
  <c r="F660" i="1"/>
  <c r="T659" i="1"/>
  <c r="P659" i="1"/>
  <c r="H659" i="1"/>
  <c r="F659" i="1"/>
  <c r="T658" i="1"/>
  <c r="P658" i="1"/>
  <c r="H658" i="1"/>
  <c r="F658" i="1"/>
  <c r="T657" i="1"/>
  <c r="P657" i="1"/>
  <c r="H657" i="1"/>
  <c r="F657" i="1"/>
  <c r="T656" i="1"/>
  <c r="P656" i="1"/>
  <c r="H656" i="1"/>
  <c r="F656" i="1"/>
  <c r="T655" i="1"/>
  <c r="P655" i="1"/>
  <c r="H655" i="1"/>
  <c r="F655" i="1"/>
  <c r="T654" i="1"/>
  <c r="P654" i="1"/>
  <c r="H654" i="1"/>
  <c r="F654" i="1"/>
  <c r="T653" i="1"/>
  <c r="P653" i="1"/>
  <c r="H653" i="1"/>
  <c r="F653" i="1"/>
  <c r="T652" i="1"/>
  <c r="P652" i="1"/>
  <c r="H652" i="1"/>
  <c r="F652" i="1"/>
  <c r="T651" i="1"/>
  <c r="P651" i="1"/>
  <c r="H651" i="1"/>
  <c r="F651" i="1"/>
  <c r="T650" i="1"/>
  <c r="P650" i="1"/>
  <c r="H650" i="1"/>
  <c r="F650" i="1"/>
  <c r="T649" i="1"/>
  <c r="P649" i="1"/>
  <c r="H649" i="1"/>
  <c r="F649" i="1"/>
  <c r="T648" i="1"/>
  <c r="P648" i="1"/>
  <c r="H648" i="1"/>
  <c r="F648" i="1"/>
  <c r="T647" i="1"/>
  <c r="P647" i="1"/>
  <c r="H647" i="1"/>
  <c r="F647" i="1"/>
  <c r="T646" i="1"/>
  <c r="P646" i="1"/>
  <c r="H646" i="1"/>
  <c r="F646" i="1"/>
  <c r="T645" i="1"/>
  <c r="P645" i="1"/>
  <c r="H645" i="1"/>
  <c r="F645" i="1"/>
  <c r="T644" i="1"/>
  <c r="P644" i="1"/>
  <c r="H644" i="1"/>
  <c r="F644" i="1"/>
  <c r="T643" i="1"/>
  <c r="P643" i="1"/>
  <c r="H643" i="1"/>
  <c r="F643" i="1"/>
  <c r="T642" i="1"/>
  <c r="P642" i="1"/>
  <c r="H642" i="1"/>
  <c r="F642" i="1"/>
  <c r="T641" i="1"/>
  <c r="P641" i="1"/>
  <c r="H641" i="1"/>
  <c r="F641" i="1"/>
  <c r="T640" i="1"/>
  <c r="P640" i="1"/>
  <c r="H640" i="1"/>
  <c r="F640" i="1"/>
  <c r="T639" i="1"/>
  <c r="P639" i="1"/>
  <c r="H639" i="1"/>
  <c r="F639" i="1"/>
  <c r="T638" i="1"/>
  <c r="P638" i="1"/>
  <c r="H638" i="1"/>
  <c r="F638" i="1"/>
  <c r="T637" i="1"/>
  <c r="P637" i="1"/>
  <c r="H637" i="1"/>
  <c r="F637" i="1"/>
  <c r="T636" i="1"/>
  <c r="P636" i="1"/>
  <c r="H636" i="1"/>
  <c r="F636" i="1"/>
  <c r="T635" i="1"/>
  <c r="P635" i="1"/>
  <c r="H635" i="1"/>
  <c r="F635" i="1"/>
  <c r="T634" i="1"/>
  <c r="P634" i="1"/>
  <c r="H634" i="1"/>
  <c r="F634" i="1"/>
  <c r="T633" i="1"/>
  <c r="P633" i="1"/>
  <c r="H633" i="1"/>
  <c r="F633" i="1"/>
  <c r="T632" i="1"/>
  <c r="P632" i="1"/>
  <c r="H632" i="1"/>
  <c r="F632" i="1"/>
  <c r="T631" i="1"/>
  <c r="P631" i="1"/>
  <c r="H631" i="1"/>
  <c r="F631" i="1"/>
  <c r="T630" i="1"/>
  <c r="P630" i="1"/>
  <c r="H630" i="1"/>
  <c r="F630" i="1"/>
  <c r="T629" i="1"/>
  <c r="P629" i="1"/>
  <c r="H629" i="1"/>
  <c r="F629" i="1"/>
  <c r="T628" i="1"/>
  <c r="P628" i="1"/>
  <c r="H628" i="1"/>
  <c r="F628" i="1"/>
  <c r="T627" i="1"/>
  <c r="P627" i="1"/>
  <c r="H627" i="1"/>
  <c r="F627" i="1"/>
  <c r="T626" i="1"/>
  <c r="P626" i="1"/>
  <c r="H626" i="1"/>
  <c r="F626" i="1"/>
  <c r="T625" i="1"/>
  <c r="P625" i="1"/>
  <c r="H625" i="1"/>
  <c r="F625" i="1"/>
  <c r="T624" i="1"/>
  <c r="P624" i="1"/>
  <c r="H624" i="1"/>
  <c r="F624" i="1"/>
  <c r="T623" i="1"/>
  <c r="P623" i="1"/>
  <c r="H623" i="1"/>
  <c r="F623" i="1"/>
  <c r="T622" i="1"/>
  <c r="P622" i="1"/>
  <c r="H622" i="1"/>
  <c r="F622" i="1"/>
  <c r="T621" i="1"/>
  <c r="P621" i="1"/>
  <c r="H621" i="1"/>
  <c r="F621" i="1"/>
  <c r="T620" i="1"/>
  <c r="P620" i="1"/>
  <c r="H620" i="1"/>
  <c r="F620" i="1"/>
  <c r="T619" i="1"/>
  <c r="P619" i="1"/>
  <c r="H619" i="1"/>
  <c r="F619" i="1"/>
  <c r="T618" i="1"/>
  <c r="P618" i="1"/>
  <c r="H618" i="1"/>
  <c r="F618" i="1"/>
  <c r="T617" i="1"/>
  <c r="P617" i="1"/>
  <c r="H617" i="1"/>
  <c r="F617" i="1"/>
  <c r="T616" i="1"/>
  <c r="P616" i="1"/>
  <c r="H616" i="1"/>
  <c r="F616" i="1"/>
  <c r="T615" i="1"/>
  <c r="P615" i="1"/>
  <c r="H615" i="1"/>
  <c r="F615" i="1"/>
  <c r="T614" i="1"/>
  <c r="P614" i="1"/>
  <c r="H614" i="1"/>
  <c r="F614" i="1"/>
  <c r="T613" i="1"/>
  <c r="P613" i="1"/>
  <c r="H613" i="1"/>
  <c r="F613" i="1"/>
  <c r="T612" i="1"/>
  <c r="P612" i="1"/>
  <c r="H612" i="1"/>
  <c r="F612" i="1"/>
  <c r="T611" i="1"/>
  <c r="P611" i="1"/>
  <c r="H611" i="1"/>
  <c r="F611" i="1"/>
  <c r="T610" i="1"/>
  <c r="P610" i="1"/>
  <c r="H610" i="1"/>
  <c r="F610" i="1"/>
  <c r="T609" i="1"/>
  <c r="P609" i="1"/>
  <c r="H609" i="1"/>
  <c r="F609" i="1"/>
  <c r="T608" i="1"/>
  <c r="P608" i="1"/>
  <c r="H608" i="1"/>
  <c r="F608" i="1"/>
  <c r="T607" i="1"/>
  <c r="P607" i="1"/>
  <c r="H607" i="1"/>
  <c r="F607" i="1"/>
  <c r="T606" i="1"/>
  <c r="P606" i="1"/>
  <c r="H606" i="1"/>
  <c r="F606" i="1"/>
  <c r="T605" i="1"/>
  <c r="P605" i="1"/>
  <c r="H605" i="1"/>
  <c r="F605" i="1"/>
  <c r="T604" i="1"/>
  <c r="P604" i="1"/>
  <c r="H604" i="1"/>
  <c r="F604" i="1"/>
  <c r="T603" i="1"/>
  <c r="P603" i="1"/>
  <c r="H603" i="1"/>
  <c r="F603" i="1"/>
  <c r="T602" i="1"/>
  <c r="P602" i="1"/>
  <c r="H602" i="1"/>
  <c r="F602" i="1"/>
  <c r="T601" i="1"/>
  <c r="P601" i="1"/>
  <c r="H601" i="1"/>
  <c r="F601" i="1"/>
  <c r="T600" i="1"/>
  <c r="P600" i="1"/>
  <c r="H600" i="1"/>
  <c r="F600" i="1"/>
  <c r="T599" i="1"/>
  <c r="P599" i="1"/>
  <c r="H599" i="1"/>
  <c r="F599" i="1"/>
  <c r="T598" i="1"/>
  <c r="P598" i="1"/>
  <c r="H598" i="1"/>
  <c r="F598" i="1"/>
  <c r="T597" i="1"/>
  <c r="P597" i="1"/>
  <c r="H597" i="1"/>
  <c r="F597" i="1"/>
  <c r="T596" i="1"/>
  <c r="P596" i="1"/>
  <c r="H596" i="1"/>
  <c r="F596" i="1"/>
  <c r="T595" i="1"/>
  <c r="P595" i="1"/>
  <c r="H595" i="1"/>
  <c r="F595" i="1"/>
  <c r="T594" i="1"/>
  <c r="P594" i="1"/>
  <c r="H594" i="1"/>
  <c r="F594" i="1"/>
  <c r="T593" i="1"/>
  <c r="P593" i="1"/>
  <c r="H593" i="1"/>
  <c r="F593" i="1"/>
  <c r="T592" i="1"/>
  <c r="P592" i="1"/>
  <c r="H592" i="1"/>
  <c r="F592" i="1"/>
  <c r="T591" i="1"/>
  <c r="P591" i="1"/>
  <c r="H591" i="1"/>
  <c r="F591" i="1"/>
  <c r="T590" i="1"/>
  <c r="P590" i="1"/>
  <c r="H590" i="1"/>
  <c r="F590" i="1"/>
  <c r="T589" i="1"/>
  <c r="P589" i="1"/>
  <c r="H589" i="1"/>
  <c r="F589" i="1"/>
  <c r="T588" i="1"/>
  <c r="P588" i="1"/>
  <c r="H588" i="1"/>
  <c r="F588" i="1"/>
  <c r="T587" i="1"/>
  <c r="P587" i="1"/>
  <c r="H587" i="1"/>
  <c r="F587" i="1"/>
  <c r="T586" i="1"/>
  <c r="P586" i="1"/>
  <c r="H586" i="1"/>
  <c r="F586" i="1"/>
  <c r="T585" i="1"/>
  <c r="P585" i="1"/>
  <c r="H585" i="1"/>
  <c r="F585" i="1"/>
  <c r="T584" i="1"/>
  <c r="P584" i="1"/>
  <c r="H584" i="1"/>
  <c r="F584" i="1"/>
  <c r="T583" i="1"/>
  <c r="P583" i="1"/>
  <c r="H583" i="1"/>
  <c r="F583" i="1"/>
  <c r="T582" i="1"/>
  <c r="P582" i="1"/>
  <c r="H582" i="1"/>
  <c r="F582" i="1"/>
  <c r="T581" i="1"/>
  <c r="P581" i="1"/>
  <c r="H581" i="1"/>
  <c r="F581" i="1"/>
  <c r="T580" i="1"/>
  <c r="P580" i="1"/>
  <c r="H580" i="1"/>
  <c r="F580" i="1"/>
  <c r="T579" i="1"/>
  <c r="P579" i="1"/>
  <c r="H579" i="1"/>
  <c r="F579" i="1"/>
  <c r="T578" i="1"/>
  <c r="P578" i="1"/>
  <c r="H578" i="1"/>
  <c r="F578" i="1"/>
  <c r="T577" i="1"/>
  <c r="P577" i="1"/>
  <c r="H577" i="1"/>
  <c r="F577" i="1"/>
  <c r="T576" i="1"/>
  <c r="P576" i="1"/>
  <c r="H576" i="1"/>
  <c r="F576" i="1"/>
  <c r="T575" i="1"/>
  <c r="P575" i="1"/>
  <c r="H575" i="1"/>
  <c r="F575" i="1"/>
  <c r="T574" i="1"/>
  <c r="P574" i="1"/>
  <c r="H574" i="1"/>
  <c r="F574" i="1"/>
  <c r="T573" i="1"/>
  <c r="P573" i="1"/>
  <c r="H573" i="1"/>
  <c r="F573" i="1"/>
  <c r="T572" i="1"/>
  <c r="P572" i="1"/>
  <c r="H572" i="1"/>
  <c r="F572" i="1"/>
  <c r="T571" i="1"/>
  <c r="P571" i="1"/>
  <c r="H571" i="1"/>
  <c r="F571" i="1"/>
  <c r="T570" i="1"/>
  <c r="P570" i="1"/>
  <c r="H570" i="1"/>
  <c r="F570" i="1"/>
  <c r="T569" i="1"/>
  <c r="P569" i="1"/>
  <c r="H569" i="1"/>
  <c r="F569" i="1"/>
  <c r="T568" i="1"/>
  <c r="P568" i="1"/>
  <c r="H568" i="1"/>
  <c r="F568" i="1"/>
  <c r="T567" i="1"/>
  <c r="P567" i="1"/>
  <c r="H567" i="1"/>
  <c r="F567" i="1"/>
  <c r="T566" i="1"/>
  <c r="P566" i="1"/>
  <c r="H566" i="1"/>
  <c r="F566" i="1"/>
  <c r="T565" i="1"/>
  <c r="P565" i="1"/>
  <c r="H565" i="1"/>
  <c r="F565" i="1"/>
  <c r="T564" i="1"/>
  <c r="P564" i="1"/>
  <c r="H564" i="1"/>
  <c r="F564" i="1"/>
  <c r="T563" i="1"/>
  <c r="P563" i="1"/>
  <c r="H563" i="1"/>
  <c r="F563" i="1"/>
  <c r="T562" i="1"/>
  <c r="P562" i="1"/>
  <c r="H562" i="1"/>
  <c r="F562" i="1"/>
  <c r="T561" i="1"/>
  <c r="P561" i="1"/>
  <c r="H561" i="1"/>
  <c r="F561" i="1"/>
  <c r="T560" i="1"/>
  <c r="P560" i="1"/>
  <c r="H560" i="1"/>
  <c r="F560" i="1"/>
  <c r="T559" i="1"/>
  <c r="P559" i="1"/>
  <c r="H559" i="1"/>
  <c r="F559" i="1"/>
  <c r="T558" i="1"/>
  <c r="P558" i="1"/>
  <c r="H558" i="1"/>
  <c r="F558" i="1"/>
  <c r="T557" i="1"/>
  <c r="P557" i="1"/>
  <c r="H557" i="1"/>
  <c r="F557" i="1"/>
  <c r="T556" i="1"/>
  <c r="P556" i="1"/>
  <c r="H556" i="1"/>
  <c r="F556" i="1"/>
  <c r="T555" i="1"/>
  <c r="P555" i="1"/>
  <c r="H555" i="1"/>
  <c r="F555" i="1"/>
  <c r="T554" i="1"/>
  <c r="P554" i="1"/>
  <c r="H554" i="1"/>
  <c r="F554" i="1"/>
  <c r="T553" i="1"/>
  <c r="P553" i="1"/>
  <c r="H553" i="1"/>
  <c r="F553" i="1"/>
  <c r="T552" i="1"/>
  <c r="P552" i="1"/>
  <c r="H552" i="1"/>
  <c r="F552" i="1"/>
  <c r="T551" i="1"/>
  <c r="P551" i="1"/>
  <c r="H551" i="1"/>
  <c r="F551" i="1"/>
  <c r="T550" i="1"/>
  <c r="P550" i="1"/>
  <c r="H550" i="1"/>
  <c r="F550" i="1"/>
  <c r="T549" i="1"/>
  <c r="P549" i="1"/>
  <c r="H549" i="1"/>
  <c r="F549" i="1"/>
  <c r="T548" i="1"/>
  <c r="P548" i="1"/>
  <c r="H548" i="1"/>
  <c r="F548" i="1"/>
  <c r="T547" i="1"/>
  <c r="P547" i="1"/>
  <c r="H547" i="1"/>
  <c r="F547" i="1"/>
  <c r="T546" i="1"/>
  <c r="P546" i="1"/>
  <c r="H546" i="1"/>
  <c r="F546" i="1"/>
  <c r="T545" i="1"/>
  <c r="P545" i="1"/>
  <c r="H545" i="1"/>
  <c r="F545" i="1"/>
  <c r="T544" i="1"/>
  <c r="P544" i="1"/>
  <c r="H544" i="1"/>
  <c r="F544" i="1"/>
  <c r="T543" i="1"/>
  <c r="P543" i="1"/>
  <c r="H543" i="1"/>
  <c r="F543" i="1"/>
  <c r="T542" i="1"/>
  <c r="P542" i="1"/>
  <c r="H542" i="1"/>
  <c r="F542" i="1"/>
  <c r="T541" i="1"/>
  <c r="P541" i="1"/>
  <c r="H541" i="1"/>
  <c r="F541" i="1"/>
  <c r="T540" i="1"/>
  <c r="P540" i="1"/>
  <c r="H540" i="1"/>
  <c r="F540" i="1"/>
  <c r="T539" i="1"/>
  <c r="P539" i="1"/>
  <c r="H539" i="1"/>
  <c r="F539" i="1"/>
  <c r="T538" i="1"/>
  <c r="P538" i="1"/>
  <c r="H538" i="1"/>
  <c r="F538" i="1"/>
  <c r="T537" i="1"/>
  <c r="P537" i="1"/>
  <c r="H537" i="1"/>
  <c r="F537" i="1"/>
  <c r="T536" i="1"/>
  <c r="P536" i="1"/>
  <c r="H536" i="1"/>
  <c r="F536" i="1"/>
  <c r="T535" i="1"/>
  <c r="P535" i="1"/>
  <c r="H535" i="1"/>
  <c r="F535" i="1"/>
  <c r="T534" i="1"/>
  <c r="P534" i="1"/>
  <c r="H534" i="1"/>
  <c r="F534" i="1"/>
  <c r="T533" i="1"/>
  <c r="P533" i="1"/>
  <c r="H533" i="1"/>
  <c r="F533" i="1"/>
  <c r="T532" i="1"/>
  <c r="P532" i="1"/>
  <c r="H532" i="1"/>
  <c r="F532" i="1"/>
  <c r="T531" i="1"/>
  <c r="P531" i="1"/>
  <c r="H531" i="1"/>
  <c r="F531" i="1"/>
  <c r="T530" i="1"/>
  <c r="P530" i="1"/>
  <c r="H530" i="1"/>
  <c r="F530" i="1"/>
  <c r="T529" i="1"/>
  <c r="P529" i="1"/>
  <c r="H529" i="1"/>
  <c r="F529" i="1"/>
  <c r="T528" i="1"/>
  <c r="P528" i="1"/>
  <c r="H528" i="1"/>
  <c r="F528" i="1"/>
  <c r="T527" i="1"/>
  <c r="P527" i="1"/>
  <c r="H527" i="1"/>
  <c r="F527" i="1"/>
  <c r="T526" i="1"/>
  <c r="P526" i="1"/>
  <c r="H526" i="1"/>
  <c r="F526" i="1"/>
  <c r="T525" i="1"/>
  <c r="P525" i="1"/>
  <c r="H525" i="1"/>
  <c r="F525" i="1"/>
  <c r="T524" i="1"/>
  <c r="P524" i="1"/>
  <c r="H524" i="1"/>
  <c r="F524" i="1"/>
  <c r="T523" i="1"/>
  <c r="P523" i="1"/>
  <c r="H523" i="1"/>
  <c r="F523" i="1"/>
  <c r="T522" i="1"/>
  <c r="P522" i="1"/>
  <c r="H522" i="1"/>
  <c r="F522" i="1"/>
  <c r="T521" i="1"/>
  <c r="P521" i="1"/>
  <c r="H521" i="1"/>
  <c r="F521" i="1"/>
  <c r="T520" i="1"/>
  <c r="P520" i="1"/>
  <c r="H520" i="1"/>
  <c r="F520" i="1"/>
  <c r="T519" i="1"/>
  <c r="P519" i="1"/>
  <c r="H519" i="1"/>
  <c r="F519" i="1"/>
  <c r="T518" i="1"/>
  <c r="P518" i="1"/>
  <c r="H518" i="1"/>
  <c r="F518" i="1"/>
  <c r="T517" i="1"/>
  <c r="P517" i="1"/>
  <c r="H517" i="1"/>
  <c r="F517" i="1"/>
  <c r="T516" i="1"/>
  <c r="P516" i="1"/>
  <c r="H516" i="1"/>
  <c r="F516" i="1"/>
  <c r="T515" i="1"/>
  <c r="P515" i="1"/>
  <c r="H515" i="1"/>
  <c r="F515" i="1"/>
  <c r="T514" i="1"/>
  <c r="P514" i="1"/>
  <c r="H514" i="1"/>
  <c r="F514" i="1"/>
  <c r="T513" i="1"/>
  <c r="P513" i="1"/>
  <c r="H513" i="1"/>
  <c r="F513" i="1"/>
  <c r="T512" i="1"/>
  <c r="P512" i="1"/>
  <c r="H512" i="1"/>
  <c r="F512" i="1"/>
  <c r="T511" i="1"/>
  <c r="P511" i="1"/>
  <c r="H511" i="1"/>
  <c r="F511" i="1"/>
  <c r="T510" i="1"/>
  <c r="P510" i="1"/>
  <c r="H510" i="1"/>
  <c r="F510" i="1"/>
  <c r="T509" i="1"/>
  <c r="P509" i="1"/>
  <c r="H509" i="1"/>
  <c r="F509" i="1"/>
  <c r="T508" i="1"/>
  <c r="P508" i="1"/>
  <c r="H508" i="1"/>
  <c r="F508" i="1"/>
  <c r="T507" i="1"/>
  <c r="P507" i="1"/>
  <c r="H507" i="1"/>
  <c r="F507" i="1"/>
  <c r="T506" i="1"/>
  <c r="P506" i="1"/>
  <c r="H506" i="1"/>
  <c r="F506" i="1"/>
  <c r="T505" i="1"/>
  <c r="P505" i="1"/>
  <c r="H505" i="1"/>
  <c r="F505" i="1"/>
  <c r="T504" i="1"/>
  <c r="P504" i="1"/>
  <c r="H504" i="1"/>
  <c r="F504" i="1"/>
  <c r="T503" i="1"/>
  <c r="P503" i="1"/>
  <c r="H503" i="1"/>
  <c r="F503" i="1"/>
  <c r="T502" i="1"/>
  <c r="P502" i="1"/>
  <c r="H502" i="1"/>
  <c r="F502" i="1"/>
  <c r="T501" i="1"/>
  <c r="P501" i="1"/>
  <c r="H501" i="1"/>
  <c r="F501" i="1"/>
  <c r="T500" i="1"/>
  <c r="P500" i="1"/>
  <c r="H500" i="1"/>
  <c r="F500" i="1"/>
  <c r="T499" i="1"/>
  <c r="P499" i="1"/>
  <c r="H499" i="1"/>
  <c r="F499" i="1"/>
  <c r="T498" i="1"/>
  <c r="P498" i="1"/>
  <c r="H498" i="1"/>
  <c r="F498" i="1"/>
  <c r="T497" i="1"/>
  <c r="P497" i="1"/>
  <c r="H497" i="1"/>
  <c r="F497" i="1"/>
  <c r="T496" i="1"/>
  <c r="P496" i="1"/>
  <c r="H496" i="1"/>
  <c r="F496" i="1"/>
  <c r="T495" i="1"/>
  <c r="P495" i="1"/>
  <c r="H495" i="1"/>
  <c r="F495" i="1"/>
  <c r="T494" i="1"/>
  <c r="P494" i="1"/>
  <c r="H494" i="1"/>
  <c r="F494" i="1"/>
  <c r="T493" i="1"/>
  <c r="P493" i="1"/>
  <c r="H493" i="1"/>
  <c r="F493" i="1"/>
  <c r="T492" i="1"/>
  <c r="P492" i="1"/>
  <c r="H492" i="1"/>
  <c r="F492" i="1"/>
  <c r="T491" i="1"/>
  <c r="P491" i="1"/>
  <c r="H491" i="1"/>
  <c r="F491" i="1"/>
  <c r="T490" i="1"/>
  <c r="P490" i="1"/>
  <c r="H490" i="1"/>
  <c r="F490" i="1"/>
  <c r="T489" i="1"/>
  <c r="P489" i="1"/>
  <c r="H489" i="1"/>
  <c r="F489" i="1"/>
  <c r="T488" i="1"/>
  <c r="P488" i="1"/>
  <c r="H488" i="1"/>
  <c r="F488" i="1"/>
  <c r="T487" i="1"/>
  <c r="P487" i="1"/>
  <c r="H487" i="1"/>
  <c r="F487" i="1"/>
  <c r="T486" i="1"/>
  <c r="P486" i="1"/>
  <c r="H486" i="1"/>
  <c r="F486" i="1"/>
  <c r="T485" i="1"/>
  <c r="P485" i="1"/>
  <c r="H485" i="1"/>
  <c r="F485" i="1"/>
  <c r="T484" i="1"/>
  <c r="P484" i="1"/>
  <c r="H484" i="1"/>
  <c r="F484" i="1"/>
  <c r="T483" i="1"/>
  <c r="P483" i="1"/>
  <c r="H483" i="1"/>
  <c r="F483" i="1"/>
  <c r="T482" i="1"/>
  <c r="P482" i="1"/>
  <c r="H482" i="1"/>
  <c r="F482" i="1"/>
  <c r="T481" i="1"/>
  <c r="P481" i="1"/>
  <c r="H481" i="1"/>
  <c r="F481" i="1"/>
  <c r="T480" i="1"/>
  <c r="P480" i="1"/>
  <c r="H480" i="1"/>
  <c r="F480" i="1"/>
  <c r="T479" i="1"/>
  <c r="P479" i="1"/>
  <c r="H479" i="1"/>
  <c r="F479" i="1"/>
  <c r="T478" i="1"/>
  <c r="P478" i="1"/>
  <c r="H478" i="1"/>
  <c r="F478" i="1"/>
  <c r="T477" i="1"/>
  <c r="P477" i="1"/>
  <c r="H477" i="1"/>
  <c r="F477" i="1"/>
  <c r="T476" i="1"/>
  <c r="P476" i="1"/>
  <c r="H476" i="1"/>
  <c r="F476" i="1"/>
  <c r="T475" i="1"/>
  <c r="P475" i="1"/>
  <c r="H475" i="1"/>
  <c r="F475" i="1"/>
  <c r="T474" i="1"/>
  <c r="P474" i="1"/>
  <c r="H474" i="1"/>
  <c r="F474" i="1"/>
  <c r="T473" i="1"/>
  <c r="P473" i="1"/>
  <c r="H473" i="1"/>
  <c r="F473" i="1"/>
  <c r="T472" i="1"/>
  <c r="P472" i="1"/>
  <c r="H472" i="1"/>
  <c r="F472" i="1"/>
  <c r="T471" i="1"/>
  <c r="P471" i="1"/>
  <c r="H471" i="1"/>
  <c r="F471" i="1"/>
  <c r="T470" i="1"/>
  <c r="P470" i="1"/>
  <c r="H470" i="1"/>
  <c r="F470" i="1"/>
  <c r="T469" i="1"/>
  <c r="P469" i="1"/>
  <c r="H469" i="1"/>
  <c r="F469" i="1"/>
  <c r="T468" i="1"/>
  <c r="P468" i="1"/>
  <c r="H468" i="1"/>
  <c r="F468" i="1"/>
  <c r="T467" i="1"/>
  <c r="P467" i="1"/>
  <c r="H467" i="1"/>
  <c r="F467" i="1"/>
  <c r="T466" i="1"/>
  <c r="P466" i="1"/>
  <c r="H466" i="1"/>
  <c r="F466" i="1"/>
  <c r="T465" i="1"/>
  <c r="P465" i="1"/>
  <c r="H465" i="1"/>
  <c r="F465" i="1"/>
  <c r="T464" i="1"/>
  <c r="P464" i="1"/>
  <c r="H464" i="1"/>
  <c r="F464" i="1"/>
  <c r="T463" i="1"/>
  <c r="P463" i="1"/>
  <c r="H463" i="1"/>
  <c r="F463" i="1"/>
  <c r="T462" i="1"/>
  <c r="P462" i="1"/>
  <c r="H462" i="1"/>
  <c r="F462" i="1"/>
  <c r="T461" i="1"/>
  <c r="P461" i="1"/>
  <c r="H461" i="1"/>
  <c r="F461" i="1"/>
  <c r="T460" i="1"/>
  <c r="P460" i="1"/>
  <c r="H460" i="1"/>
  <c r="F460" i="1"/>
  <c r="T459" i="1"/>
  <c r="P459" i="1"/>
  <c r="H459" i="1"/>
  <c r="F459" i="1"/>
  <c r="T458" i="1"/>
  <c r="P458" i="1"/>
  <c r="H458" i="1"/>
  <c r="F458" i="1"/>
  <c r="T457" i="1"/>
  <c r="P457" i="1"/>
  <c r="H457" i="1"/>
  <c r="F457" i="1"/>
  <c r="T456" i="1"/>
  <c r="P456" i="1"/>
  <c r="H456" i="1"/>
  <c r="F456" i="1"/>
  <c r="T455" i="1"/>
  <c r="P455" i="1"/>
  <c r="H455" i="1"/>
  <c r="F455" i="1"/>
  <c r="T454" i="1"/>
  <c r="P454" i="1"/>
  <c r="H454" i="1"/>
  <c r="F454" i="1"/>
  <c r="T453" i="1"/>
  <c r="P453" i="1"/>
  <c r="H453" i="1"/>
  <c r="F453" i="1"/>
  <c r="T452" i="1"/>
  <c r="P452" i="1"/>
  <c r="H452" i="1"/>
  <c r="F452" i="1"/>
  <c r="T451" i="1"/>
  <c r="P451" i="1"/>
  <c r="H451" i="1"/>
  <c r="F451" i="1"/>
  <c r="T450" i="1"/>
  <c r="P450" i="1"/>
  <c r="H450" i="1"/>
  <c r="F450" i="1"/>
  <c r="T449" i="1"/>
  <c r="P449" i="1"/>
  <c r="H449" i="1"/>
  <c r="F449" i="1"/>
  <c r="T448" i="1"/>
  <c r="P448" i="1"/>
  <c r="H448" i="1"/>
  <c r="F448" i="1"/>
  <c r="T447" i="1"/>
  <c r="P447" i="1"/>
  <c r="H447" i="1"/>
  <c r="F447" i="1"/>
  <c r="T446" i="1"/>
  <c r="P446" i="1"/>
  <c r="H446" i="1"/>
  <c r="F446" i="1"/>
  <c r="T445" i="1"/>
  <c r="P445" i="1"/>
  <c r="H445" i="1"/>
  <c r="F445" i="1"/>
  <c r="T444" i="1"/>
  <c r="P444" i="1"/>
  <c r="H444" i="1"/>
  <c r="F444" i="1"/>
  <c r="T443" i="1"/>
  <c r="P443" i="1"/>
  <c r="H443" i="1"/>
  <c r="F443" i="1"/>
  <c r="T442" i="1"/>
  <c r="P442" i="1"/>
  <c r="H442" i="1"/>
  <c r="F442" i="1"/>
  <c r="T441" i="1"/>
  <c r="P441" i="1"/>
  <c r="H441" i="1"/>
  <c r="F441" i="1"/>
  <c r="T440" i="1"/>
  <c r="P440" i="1"/>
  <c r="H440" i="1"/>
  <c r="F440" i="1"/>
  <c r="T439" i="1"/>
  <c r="P439" i="1"/>
  <c r="H439" i="1"/>
  <c r="F439" i="1"/>
  <c r="T438" i="1"/>
  <c r="P438" i="1"/>
  <c r="H438" i="1"/>
  <c r="F438" i="1"/>
  <c r="T437" i="1"/>
  <c r="P437" i="1"/>
  <c r="H437" i="1"/>
  <c r="F437" i="1"/>
  <c r="T436" i="1"/>
  <c r="P436" i="1"/>
  <c r="H436" i="1"/>
  <c r="F436" i="1"/>
  <c r="T435" i="1"/>
  <c r="P435" i="1"/>
  <c r="H435" i="1"/>
  <c r="F435" i="1"/>
  <c r="T434" i="1"/>
  <c r="P434" i="1"/>
  <c r="H434" i="1"/>
  <c r="F434" i="1"/>
  <c r="T433" i="1"/>
  <c r="P433" i="1"/>
  <c r="H433" i="1"/>
  <c r="F433" i="1"/>
  <c r="T432" i="1"/>
  <c r="P432" i="1"/>
  <c r="H432" i="1"/>
  <c r="F432" i="1"/>
  <c r="T431" i="1"/>
  <c r="P431" i="1"/>
  <c r="H431" i="1"/>
  <c r="F431" i="1"/>
  <c r="T430" i="1"/>
  <c r="P430" i="1"/>
  <c r="H430" i="1"/>
  <c r="F430" i="1"/>
  <c r="T429" i="1"/>
  <c r="P429" i="1"/>
  <c r="H429" i="1"/>
  <c r="F429" i="1"/>
  <c r="T428" i="1"/>
  <c r="P428" i="1"/>
  <c r="H428" i="1"/>
  <c r="F428" i="1"/>
  <c r="T427" i="1"/>
  <c r="P427" i="1"/>
  <c r="H427" i="1"/>
  <c r="F427" i="1"/>
  <c r="T426" i="1"/>
  <c r="P426" i="1"/>
  <c r="H426" i="1"/>
  <c r="F426" i="1"/>
  <c r="T425" i="1"/>
  <c r="P425" i="1"/>
  <c r="H425" i="1"/>
  <c r="F425" i="1"/>
  <c r="T424" i="1"/>
  <c r="P424" i="1"/>
  <c r="H424" i="1"/>
  <c r="F424" i="1"/>
  <c r="T423" i="1"/>
  <c r="P423" i="1"/>
  <c r="H423" i="1"/>
  <c r="F423" i="1"/>
  <c r="T422" i="1"/>
  <c r="P422" i="1"/>
  <c r="H422" i="1"/>
  <c r="F422" i="1"/>
  <c r="T421" i="1"/>
  <c r="P421" i="1"/>
  <c r="H421" i="1"/>
  <c r="F421" i="1"/>
  <c r="T420" i="1"/>
  <c r="P420" i="1"/>
  <c r="H420" i="1"/>
  <c r="F420" i="1"/>
  <c r="T419" i="1"/>
  <c r="P419" i="1"/>
  <c r="H419" i="1"/>
  <c r="F419" i="1"/>
  <c r="T418" i="1"/>
  <c r="P418" i="1"/>
  <c r="H418" i="1"/>
  <c r="F418" i="1"/>
  <c r="T417" i="1"/>
  <c r="P417" i="1"/>
  <c r="H417" i="1"/>
  <c r="F417" i="1"/>
  <c r="T416" i="1"/>
  <c r="P416" i="1"/>
  <c r="H416" i="1"/>
  <c r="F416" i="1"/>
  <c r="T415" i="1"/>
  <c r="P415" i="1"/>
  <c r="H415" i="1"/>
  <c r="F415" i="1"/>
  <c r="T414" i="1"/>
  <c r="P414" i="1"/>
  <c r="H414" i="1"/>
  <c r="F414" i="1"/>
  <c r="T413" i="1"/>
  <c r="P413" i="1"/>
  <c r="H413" i="1"/>
  <c r="F413" i="1"/>
  <c r="T412" i="1"/>
  <c r="P412" i="1"/>
  <c r="H412" i="1"/>
  <c r="F412" i="1"/>
  <c r="T411" i="1"/>
  <c r="P411" i="1"/>
  <c r="H411" i="1"/>
  <c r="F411" i="1"/>
  <c r="T410" i="1"/>
  <c r="P410" i="1"/>
  <c r="H410" i="1"/>
  <c r="F410" i="1"/>
  <c r="T409" i="1"/>
  <c r="P409" i="1"/>
  <c r="H409" i="1"/>
  <c r="F409" i="1"/>
  <c r="T408" i="1"/>
  <c r="P408" i="1"/>
  <c r="H408" i="1"/>
  <c r="F408" i="1"/>
  <c r="T407" i="1"/>
  <c r="P407" i="1"/>
  <c r="H407" i="1"/>
  <c r="F407" i="1"/>
  <c r="T406" i="1"/>
  <c r="P406" i="1"/>
  <c r="H406" i="1"/>
  <c r="F406" i="1"/>
  <c r="T405" i="1"/>
  <c r="P405" i="1"/>
  <c r="H405" i="1"/>
  <c r="F405" i="1"/>
  <c r="T404" i="1"/>
  <c r="P404" i="1"/>
  <c r="H404" i="1"/>
  <c r="F404" i="1"/>
  <c r="T403" i="1"/>
  <c r="P403" i="1"/>
  <c r="H403" i="1"/>
  <c r="F403" i="1"/>
  <c r="T402" i="1"/>
  <c r="P402" i="1"/>
  <c r="H402" i="1"/>
  <c r="F402" i="1"/>
  <c r="T401" i="1"/>
  <c r="P401" i="1"/>
  <c r="H401" i="1"/>
  <c r="F401" i="1"/>
  <c r="T400" i="1"/>
  <c r="P400" i="1"/>
  <c r="H400" i="1"/>
  <c r="F400" i="1"/>
  <c r="T399" i="1"/>
  <c r="P399" i="1"/>
  <c r="H399" i="1"/>
  <c r="F399" i="1"/>
  <c r="T398" i="1"/>
  <c r="P398" i="1"/>
  <c r="H398" i="1"/>
  <c r="F398" i="1"/>
  <c r="T397" i="1"/>
  <c r="P397" i="1"/>
  <c r="H397" i="1"/>
  <c r="F397" i="1"/>
  <c r="T396" i="1"/>
  <c r="P396" i="1"/>
  <c r="H396" i="1"/>
  <c r="F396" i="1"/>
  <c r="T395" i="1"/>
  <c r="P395" i="1"/>
  <c r="H395" i="1"/>
  <c r="F395" i="1"/>
  <c r="T394" i="1"/>
  <c r="P394" i="1"/>
  <c r="H394" i="1"/>
  <c r="F394" i="1"/>
  <c r="T393" i="1"/>
  <c r="P393" i="1"/>
  <c r="H393" i="1"/>
  <c r="F393" i="1"/>
  <c r="T392" i="1"/>
  <c r="P392" i="1"/>
  <c r="H392" i="1"/>
  <c r="F392" i="1"/>
  <c r="T391" i="1"/>
  <c r="P391" i="1"/>
  <c r="H391" i="1"/>
  <c r="F391" i="1"/>
  <c r="T390" i="1"/>
  <c r="P390" i="1"/>
  <c r="H390" i="1"/>
  <c r="F390" i="1"/>
  <c r="T389" i="1"/>
  <c r="P389" i="1"/>
  <c r="H389" i="1"/>
  <c r="F389" i="1"/>
  <c r="T388" i="1"/>
  <c r="P388" i="1"/>
  <c r="H388" i="1"/>
  <c r="F388" i="1"/>
  <c r="T387" i="1"/>
  <c r="P387" i="1"/>
  <c r="H387" i="1"/>
  <c r="F387" i="1"/>
  <c r="T386" i="1"/>
  <c r="P386" i="1"/>
  <c r="H386" i="1"/>
  <c r="F386" i="1"/>
  <c r="T385" i="1"/>
  <c r="P385" i="1"/>
  <c r="H385" i="1"/>
  <c r="F385" i="1"/>
  <c r="T384" i="1"/>
  <c r="P384" i="1"/>
  <c r="H384" i="1"/>
  <c r="F384" i="1"/>
  <c r="T383" i="1"/>
  <c r="P383" i="1"/>
  <c r="H383" i="1"/>
  <c r="F383" i="1"/>
  <c r="T382" i="1"/>
  <c r="P382" i="1"/>
  <c r="H382" i="1"/>
  <c r="F382" i="1"/>
  <c r="T381" i="1"/>
  <c r="P381" i="1"/>
  <c r="H381" i="1"/>
  <c r="F381" i="1"/>
  <c r="T380" i="1"/>
  <c r="P380" i="1"/>
  <c r="H380" i="1"/>
  <c r="F380" i="1"/>
  <c r="T379" i="1"/>
  <c r="P379" i="1"/>
  <c r="H379" i="1"/>
  <c r="F379" i="1"/>
  <c r="T378" i="1"/>
  <c r="P378" i="1"/>
  <c r="H378" i="1"/>
  <c r="F378" i="1"/>
  <c r="T377" i="1"/>
  <c r="P377" i="1"/>
  <c r="H377" i="1"/>
  <c r="F377" i="1"/>
  <c r="T376" i="1"/>
  <c r="P376" i="1"/>
  <c r="H376" i="1"/>
  <c r="F376" i="1"/>
  <c r="T375" i="1"/>
  <c r="P375" i="1"/>
  <c r="H375" i="1"/>
  <c r="F375" i="1"/>
  <c r="T374" i="1"/>
  <c r="P374" i="1"/>
  <c r="H374" i="1"/>
  <c r="F374" i="1"/>
  <c r="T373" i="1"/>
  <c r="P373" i="1"/>
  <c r="H373" i="1"/>
  <c r="F373" i="1"/>
  <c r="T372" i="1"/>
  <c r="P372" i="1"/>
  <c r="H372" i="1"/>
  <c r="F372" i="1"/>
  <c r="T371" i="1"/>
  <c r="P371" i="1"/>
  <c r="H371" i="1"/>
  <c r="F371" i="1"/>
  <c r="T370" i="1"/>
  <c r="P370" i="1"/>
  <c r="H370" i="1"/>
  <c r="F370" i="1"/>
  <c r="T369" i="1"/>
  <c r="P369" i="1"/>
  <c r="H369" i="1"/>
  <c r="F369" i="1"/>
  <c r="T368" i="1"/>
  <c r="P368" i="1"/>
  <c r="H368" i="1"/>
  <c r="F368" i="1"/>
  <c r="T367" i="1"/>
  <c r="P367" i="1"/>
  <c r="H367" i="1"/>
  <c r="F367" i="1"/>
  <c r="T366" i="1"/>
  <c r="P366" i="1"/>
  <c r="H366" i="1"/>
  <c r="F366" i="1"/>
  <c r="T365" i="1"/>
  <c r="P365" i="1"/>
  <c r="H365" i="1"/>
  <c r="F365" i="1"/>
  <c r="T364" i="1"/>
  <c r="P364" i="1"/>
  <c r="H364" i="1"/>
  <c r="F364" i="1"/>
  <c r="T363" i="1"/>
  <c r="P363" i="1"/>
  <c r="H363" i="1"/>
  <c r="F363" i="1"/>
  <c r="T362" i="1"/>
  <c r="P362" i="1"/>
  <c r="H362" i="1"/>
  <c r="F362" i="1"/>
  <c r="T361" i="1"/>
  <c r="P361" i="1"/>
  <c r="H361" i="1"/>
  <c r="F361" i="1"/>
  <c r="T360" i="1"/>
  <c r="P360" i="1"/>
  <c r="H360" i="1"/>
  <c r="F360" i="1"/>
  <c r="T359" i="1"/>
  <c r="P359" i="1"/>
  <c r="H359" i="1"/>
  <c r="F359" i="1"/>
  <c r="T358" i="1"/>
  <c r="P358" i="1"/>
  <c r="H358" i="1"/>
  <c r="F358" i="1"/>
  <c r="T357" i="1"/>
  <c r="P357" i="1"/>
  <c r="H357" i="1"/>
  <c r="F357" i="1"/>
  <c r="T356" i="1"/>
  <c r="P356" i="1"/>
  <c r="H356" i="1"/>
  <c r="F356" i="1"/>
  <c r="T355" i="1"/>
  <c r="P355" i="1"/>
  <c r="H355" i="1"/>
  <c r="F355" i="1"/>
  <c r="T354" i="1"/>
  <c r="P354" i="1"/>
  <c r="H354" i="1"/>
  <c r="F354" i="1"/>
  <c r="T353" i="1"/>
  <c r="P353" i="1"/>
  <c r="H353" i="1"/>
  <c r="F353" i="1"/>
  <c r="T352" i="1"/>
  <c r="P352" i="1"/>
  <c r="H352" i="1"/>
  <c r="F352" i="1"/>
  <c r="T351" i="1"/>
  <c r="P351" i="1"/>
  <c r="H351" i="1"/>
  <c r="F351" i="1"/>
  <c r="T350" i="1"/>
  <c r="P350" i="1"/>
  <c r="H350" i="1"/>
  <c r="F350" i="1"/>
  <c r="T349" i="1"/>
  <c r="P349" i="1"/>
  <c r="H349" i="1"/>
  <c r="F349" i="1"/>
  <c r="T348" i="1"/>
  <c r="P348" i="1"/>
  <c r="H348" i="1"/>
  <c r="F348" i="1"/>
  <c r="T347" i="1"/>
  <c r="P347" i="1"/>
  <c r="H347" i="1"/>
  <c r="F347" i="1"/>
  <c r="T346" i="1"/>
  <c r="P346" i="1"/>
  <c r="H346" i="1"/>
  <c r="F346" i="1"/>
  <c r="T345" i="1"/>
  <c r="P345" i="1"/>
  <c r="H345" i="1"/>
  <c r="F345" i="1"/>
  <c r="T344" i="1"/>
  <c r="P344" i="1"/>
  <c r="H344" i="1"/>
  <c r="F344" i="1"/>
  <c r="T343" i="1"/>
  <c r="P343" i="1"/>
  <c r="H343" i="1"/>
  <c r="F343" i="1"/>
  <c r="T342" i="1"/>
  <c r="P342" i="1"/>
  <c r="H342" i="1"/>
  <c r="F342" i="1"/>
  <c r="T341" i="1"/>
  <c r="P341" i="1"/>
  <c r="H341" i="1"/>
  <c r="F341" i="1"/>
  <c r="T340" i="1"/>
  <c r="P340" i="1"/>
  <c r="H340" i="1"/>
  <c r="F340" i="1"/>
  <c r="T339" i="1"/>
  <c r="P339" i="1"/>
  <c r="H339" i="1"/>
  <c r="F339" i="1"/>
  <c r="T338" i="1"/>
  <c r="P338" i="1"/>
  <c r="H338" i="1"/>
  <c r="F338" i="1"/>
  <c r="T337" i="1"/>
  <c r="P337" i="1"/>
  <c r="H337" i="1"/>
  <c r="F337" i="1"/>
  <c r="T336" i="1"/>
  <c r="P336" i="1"/>
  <c r="H336" i="1"/>
  <c r="F336" i="1"/>
  <c r="T335" i="1"/>
  <c r="P335" i="1"/>
  <c r="H335" i="1"/>
  <c r="F335" i="1"/>
  <c r="T334" i="1"/>
  <c r="P334" i="1"/>
  <c r="H334" i="1"/>
  <c r="F334" i="1"/>
  <c r="T333" i="1"/>
  <c r="P333" i="1"/>
  <c r="H333" i="1"/>
  <c r="F333" i="1"/>
  <c r="T332" i="1"/>
  <c r="P332" i="1"/>
  <c r="H332" i="1"/>
  <c r="F332" i="1"/>
  <c r="T331" i="1"/>
  <c r="P331" i="1"/>
  <c r="H331" i="1"/>
  <c r="F331" i="1"/>
  <c r="T330" i="1"/>
  <c r="P330" i="1"/>
  <c r="H330" i="1"/>
  <c r="F330" i="1"/>
  <c r="T329" i="1"/>
  <c r="P329" i="1"/>
  <c r="H329" i="1"/>
  <c r="F329" i="1"/>
  <c r="T328" i="1"/>
  <c r="P328" i="1"/>
  <c r="H328" i="1"/>
  <c r="F328" i="1"/>
  <c r="T327" i="1"/>
  <c r="P327" i="1"/>
  <c r="H327" i="1"/>
  <c r="F327" i="1"/>
  <c r="T326" i="1"/>
  <c r="P326" i="1"/>
  <c r="H326" i="1"/>
  <c r="F326" i="1"/>
  <c r="T325" i="1"/>
  <c r="P325" i="1"/>
  <c r="H325" i="1"/>
  <c r="F325" i="1"/>
  <c r="T324" i="1"/>
  <c r="P324" i="1"/>
  <c r="H324" i="1"/>
  <c r="F324" i="1"/>
  <c r="T323" i="1"/>
  <c r="P323" i="1"/>
  <c r="H323" i="1"/>
  <c r="F323" i="1"/>
  <c r="T322" i="1"/>
  <c r="P322" i="1"/>
  <c r="H322" i="1"/>
  <c r="F322" i="1"/>
  <c r="T321" i="1"/>
  <c r="P321" i="1"/>
  <c r="H321" i="1"/>
  <c r="F321" i="1"/>
  <c r="T320" i="1"/>
  <c r="P320" i="1"/>
  <c r="H320" i="1"/>
  <c r="F320" i="1"/>
  <c r="T319" i="1"/>
  <c r="P319" i="1"/>
  <c r="H319" i="1"/>
  <c r="F319" i="1"/>
  <c r="T318" i="1"/>
  <c r="P318" i="1"/>
  <c r="H318" i="1"/>
  <c r="F318" i="1"/>
  <c r="T317" i="1"/>
  <c r="P317" i="1"/>
  <c r="H317" i="1"/>
  <c r="F317" i="1"/>
  <c r="T316" i="1"/>
  <c r="P316" i="1"/>
  <c r="H316" i="1"/>
  <c r="F316" i="1"/>
  <c r="T315" i="1"/>
  <c r="P315" i="1"/>
  <c r="H315" i="1"/>
  <c r="F315" i="1"/>
  <c r="T314" i="1"/>
  <c r="P314" i="1"/>
  <c r="H314" i="1"/>
  <c r="F314" i="1"/>
  <c r="T313" i="1"/>
  <c r="P313" i="1"/>
  <c r="H313" i="1"/>
  <c r="F313" i="1"/>
  <c r="T312" i="1"/>
  <c r="P312" i="1"/>
  <c r="H312" i="1"/>
  <c r="F312" i="1"/>
  <c r="T311" i="1"/>
  <c r="P311" i="1"/>
  <c r="H311" i="1"/>
  <c r="F311" i="1"/>
  <c r="T310" i="1"/>
  <c r="P310" i="1"/>
  <c r="H310" i="1"/>
  <c r="F310" i="1"/>
  <c r="T309" i="1"/>
  <c r="P309" i="1"/>
  <c r="H309" i="1"/>
  <c r="F309" i="1"/>
  <c r="T308" i="1"/>
  <c r="P308" i="1"/>
  <c r="H308" i="1"/>
  <c r="F308" i="1"/>
  <c r="T307" i="1"/>
  <c r="P307" i="1"/>
  <c r="H307" i="1"/>
  <c r="F307" i="1"/>
  <c r="T306" i="1"/>
  <c r="P306" i="1"/>
  <c r="H306" i="1"/>
  <c r="F306" i="1"/>
  <c r="T305" i="1"/>
  <c r="P305" i="1"/>
  <c r="H305" i="1"/>
  <c r="F305" i="1"/>
  <c r="T304" i="1"/>
  <c r="P304" i="1"/>
  <c r="H304" i="1"/>
  <c r="F304" i="1"/>
  <c r="T303" i="1"/>
  <c r="P303" i="1"/>
  <c r="H303" i="1"/>
  <c r="F303" i="1"/>
  <c r="T302" i="1"/>
  <c r="P302" i="1"/>
  <c r="H302" i="1"/>
  <c r="F302" i="1"/>
  <c r="T301" i="1"/>
  <c r="P301" i="1"/>
  <c r="H301" i="1"/>
  <c r="F301" i="1"/>
  <c r="T300" i="1"/>
  <c r="P300" i="1"/>
  <c r="H300" i="1"/>
  <c r="F300" i="1"/>
  <c r="T299" i="1"/>
  <c r="P299" i="1"/>
  <c r="H299" i="1"/>
  <c r="F299" i="1"/>
  <c r="T298" i="1"/>
  <c r="P298" i="1"/>
  <c r="H298" i="1"/>
  <c r="F298" i="1"/>
  <c r="T297" i="1"/>
  <c r="P297" i="1"/>
  <c r="H297" i="1"/>
  <c r="F297" i="1"/>
  <c r="T296" i="1"/>
  <c r="P296" i="1"/>
  <c r="H296" i="1"/>
  <c r="F296" i="1"/>
  <c r="T295" i="1"/>
  <c r="P295" i="1"/>
  <c r="H295" i="1"/>
  <c r="F295" i="1"/>
  <c r="T294" i="1"/>
  <c r="P294" i="1"/>
  <c r="H294" i="1"/>
  <c r="F294" i="1"/>
  <c r="T293" i="1"/>
  <c r="P293" i="1"/>
  <c r="H293" i="1"/>
  <c r="F293" i="1"/>
  <c r="T292" i="1"/>
  <c r="P292" i="1"/>
  <c r="H292" i="1"/>
  <c r="F292" i="1"/>
  <c r="T291" i="1"/>
  <c r="P291" i="1"/>
  <c r="H291" i="1"/>
  <c r="F291" i="1"/>
  <c r="T290" i="1"/>
  <c r="P290" i="1"/>
  <c r="H290" i="1"/>
  <c r="F290" i="1"/>
  <c r="T289" i="1"/>
  <c r="P289" i="1"/>
  <c r="H289" i="1"/>
  <c r="F289" i="1"/>
  <c r="T288" i="1"/>
  <c r="P288" i="1"/>
  <c r="H288" i="1"/>
  <c r="F288" i="1"/>
  <c r="T287" i="1"/>
  <c r="P287" i="1"/>
  <c r="H287" i="1"/>
  <c r="F287" i="1"/>
  <c r="T286" i="1"/>
  <c r="P286" i="1"/>
  <c r="H286" i="1"/>
  <c r="F286" i="1"/>
  <c r="T285" i="1"/>
  <c r="P285" i="1"/>
  <c r="H285" i="1"/>
  <c r="F285" i="1"/>
  <c r="T284" i="1"/>
  <c r="P284" i="1"/>
  <c r="H284" i="1"/>
  <c r="F284" i="1"/>
  <c r="T283" i="1"/>
  <c r="P283" i="1"/>
  <c r="H283" i="1"/>
  <c r="F283" i="1"/>
  <c r="T282" i="1"/>
  <c r="P282" i="1"/>
  <c r="H282" i="1"/>
  <c r="F282" i="1"/>
  <c r="T281" i="1"/>
  <c r="P281" i="1"/>
  <c r="H281" i="1"/>
  <c r="F281" i="1"/>
  <c r="T280" i="1"/>
  <c r="P280" i="1"/>
  <c r="H280" i="1"/>
  <c r="F280" i="1"/>
  <c r="T279" i="1"/>
  <c r="P279" i="1"/>
  <c r="H279" i="1"/>
  <c r="F279" i="1"/>
  <c r="T278" i="1"/>
  <c r="P278" i="1"/>
  <c r="H278" i="1"/>
  <c r="F278" i="1"/>
  <c r="T277" i="1"/>
  <c r="P277" i="1"/>
  <c r="H277" i="1"/>
  <c r="F277" i="1"/>
  <c r="T276" i="1"/>
  <c r="P276" i="1"/>
  <c r="H276" i="1"/>
  <c r="F276" i="1"/>
  <c r="T275" i="1"/>
  <c r="P275" i="1"/>
  <c r="H275" i="1"/>
  <c r="F275" i="1"/>
  <c r="T274" i="1"/>
  <c r="P274" i="1"/>
  <c r="H274" i="1"/>
  <c r="F274" i="1"/>
  <c r="T273" i="1"/>
  <c r="P273" i="1"/>
  <c r="H273" i="1"/>
  <c r="F273" i="1"/>
  <c r="T272" i="1"/>
  <c r="P272" i="1"/>
  <c r="H272" i="1"/>
  <c r="F272" i="1"/>
  <c r="T271" i="1"/>
  <c r="P271" i="1"/>
  <c r="H271" i="1"/>
  <c r="F271" i="1"/>
  <c r="T270" i="1"/>
  <c r="P270" i="1"/>
  <c r="H270" i="1"/>
  <c r="F270" i="1"/>
  <c r="T269" i="1"/>
  <c r="P269" i="1"/>
  <c r="H269" i="1"/>
  <c r="F269" i="1"/>
  <c r="T268" i="1"/>
  <c r="P268" i="1"/>
  <c r="H268" i="1"/>
  <c r="F268" i="1"/>
  <c r="T267" i="1"/>
  <c r="P267" i="1"/>
  <c r="H267" i="1"/>
  <c r="F267" i="1"/>
  <c r="T266" i="1"/>
  <c r="P266" i="1"/>
  <c r="H266" i="1"/>
  <c r="F266" i="1"/>
  <c r="T265" i="1"/>
  <c r="P265" i="1"/>
  <c r="H265" i="1"/>
  <c r="F265" i="1"/>
  <c r="T264" i="1"/>
  <c r="P264" i="1"/>
  <c r="H264" i="1"/>
  <c r="F264" i="1"/>
  <c r="T263" i="1"/>
  <c r="P263" i="1"/>
  <c r="H263" i="1"/>
  <c r="F263" i="1"/>
  <c r="T262" i="1"/>
  <c r="P262" i="1"/>
  <c r="H262" i="1"/>
  <c r="F262" i="1"/>
  <c r="T261" i="1"/>
  <c r="P261" i="1"/>
  <c r="H261" i="1"/>
  <c r="F261" i="1"/>
  <c r="T260" i="1"/>
  <c r="P260" i="1"/>
  <c r="H260" i="1"/>
  <c r="F260" i="1"/>
  <c r="T259" i="1"/>
  <c r="P259" i="1"/>
  <c r="H259" i="1"/>
  <c r="F259" i="1"/>
  <c r="T258" i="1"/>
  <c r="P258" i="1"/>
  <c r="H258" i="1"/>
  <c r="F258" i="1"/>
  <c r="T257" i="1"/>
  <c r="P257" i="1"/>
  <c r="H257" i="1"/>
  <c r="F257" i="1"/>
  <c r="T256" i="1"/>
  <c r="P256" i="1"/>
  <c r="H256" i="1"/>
  <c r="F256" i="1"/>
  <c r="T255" i="1"/>
  <c r="P255" i="1"/>
  <c r="H255" i="1"/>
  <c r="F255" i="1"/>
  <c r="T254" i="1"/>
  <c r="P254" i="1"/>
  <c r="H254" i="1"/>
  <c r="F254" i="1"/>
  <c r="T253" i="1"/>
  <c r="P253" i="1"/>
  <c r="H253" i="1"/>
  <c r="F253" i="1"/>
  <c r="T252" i="1"/>
  <c r="P252" i="1"/>
  <c r="H252" i="1"/>
  <c r="F252" i="1"/>
  <c r="T251" i="1"/>
  <c r="P251" i="1"/>
  <c r="H251" i="1"/>
  <c r="F251" i="1"/>
  <c r="T250" i="1"/>
  <c r="P250" i="1"/>
  <c r="H250" i="1"/>
  <c r="F250" i="1"/>
  <c r="T249" i="1"/>
  <c r="P249" i="1"/>
  <c r="H249" i="1"/>
  <c r="F249" i="1"/>
  <c r="T248" i="1"/>
  <c r="P248" i="1"/>
  <c r="H248" i="1"/>
  <c r="F248" i="1"/>
  <c r="T247" i="1"/>
  <c r="P247" i="1"/>
  <c r="H247" i="1"/>
  <c r="F247" i="1"/>
  <c r="T246" i="1"/>
  <c r="P246" i="1"/>
  <c r="H246" i="1"/>
  <c r="F246" i="1"/>
  <c r="T245" i="1"/>
  <c r="P245" i="1"/>
  <c r="H245" i="1"/>
  <c r="F245" i="1"/>
  <c r="T244" i="1"/>
  <c r="P244" i="1"/>
  <c r="H244" i="1"/>
  <c r="F244" i="1"/>
  <c r="T243" i="1"/>
  <c r="P243" i="1"/>
  <c r="H243" i="1"/>
  <c r="F243" i="1"/>
  <c r="T242" i="1"/>
  <c r="P242" i="1"/>
  <c r="H242" i="1"/>
  <c r="F242" i="1"/>
  <c r="T241" i="1"/>
  <c r="P241" i="1"/>
  <c r="H241" i="1"/>
  <c r="F241" i="1"/>
  <c r="T240" i="1"/>
  <c r="P240" i="1"/>
  <c r="H240" i="1"/>
  <c r="F240" i="1"/>
  <c r="T239" i="1"/>
  <c r="P239" i="1"/>
  <c r="H239" i="1"/>
  <c r="F239" i="1"/>
  <c r="T238" i="1"/>
  <c r="P238" i="1"/>
  <c r="H238" i="1"/>
  <c r="F238" i="1"/>
  <c r="T237" i="1"/>
  <c r="P237" i="1"/>
  <c r="H237" i="1"/>
  <c r="F237" i="1"/>
  <c r="T236" i="1"/>
  <c r="P236" i="1"/>
  <c r="H236" i="1"/>
  <c r="F236" i="1"/>
  <c r="T235" i="1"/>
  <c r="P235" i="1"/>
  <c r="H235" i="1"/>
  <c r="F235" i="1"/>
  <c r="T234" i="1"/>
  <c r="P234" i="1"/>
  <c r="H234" i="1"/>
  <c r="F234" i="1"/>
  <c r="T233" i="1"/>
  <c r="P233" i="1"/>
  <c r="H233" i="1"/>
  <c r="F233" i="1"/>
  <c r="T232" i="1"/>
  <c r="P232" i="1"/>
  <c r="H232" i="1"/>
  <c r="F232" i="1"/>
  <c r="T231" i="1"/>
  <c r="P231" i="1"/>
  <c r="H231" i="1"/>
  <c r="F231" i="1"/>
  <c r="T230" i="1"/>
  <c r="P230" i="1"/>
  <c r="H230" i="1"/>
  <c r="F230" i="1"/>
  <c r="T229" i="1"/>
  <c r="P229" i="1"/>
  <c r="H229" i="1"/>
  <c r="F229" i="1"/>
  <c r="T228" i="1"/>
  <c r="P228" i="1"/>
  <c r="H228" i="1"/>
  <c r="F228" i="1"/>
  <c r="T227" i="1"/>
  <c r="P227" i="1"/>
  <c r="H227" i="1"/>
  <c r="F227" i="1"/>
  <c r="T226" i="1"/>
  <c r="P226" i="1"/>
  <c r="H226" i="1"/>
  <c r="F226" i="1"/>
  <c r="T225" i="1"/>
  <c r="P225" i="1"/>
  <c r="H225" i="1"/>
  <c r="F225" i="1"/>
  <c r="T224" i="1"/>
  <c r="P224" i="1"/>
  <c r="H224" i="1"/>
  <c r="F224" i="1"/>
  <c r="T223" i="1"/>
  <c r="P223" i="1"/>
  <c r="H223" i="1"/>
  <c r="F223" i="1"/>
  <c r="T222" i="1"/>
  <c r="P222" i="1"/>
  <c r="H222" i="1"/>
  <c r="F222" i="1"/>
  <c r="T221" i="1"/>
  <c r="P221" i="1"/>
  <c r="H221" i="1"/>
  <c r="F221" i="1"/>
  <c r="T220" i="1"/>
  <c r="P220" i="1"/>
  <c r="H220" i="1"/>
  <c r="F220" i="1"/>
  <c r="T219" i="1"/>
  <c r="P219" i="1"/>
  <c r="H219" i="1"/>
  <c r="F219" i="1"/>
  <c r="T218" i="1"/>
  <c r="P218" i="1"/>
  <c r="H218" i="1"/>
  <c r="F218" i="1"/>
  <c r="T217" i="1"/>
  <c r="P217" i="1"/>
  <c r="H217" i="1"/>
  <c r="F217" i="1"/>
  <c r="T216" i="1"/>
  <c r="P216" i="1"/>
  <c r="H216" i="1"/>
  <c r="F216" i="1"/>
  <c r="T215" i="1"/>
  <c r="P215" i="1"/>
  <c r="H215" i="1"/>
  <c r="F215" i="1"/>
  <c r="T214" i="1"/>
  <c r="P214" i="1"/>
  <c r="H214" i="1"/>
  <c r="F214" i="1"/>
  <c r="T213" i="1"/>
  <c r="P213" i="1"/>
  <c r="H213" i="1"/>
  <c r="F213" i="1"/>
  <c r="T212" i="1"/>
  <c r="P212" i="1"/>
  <c r="H212" i="1"/>
  <c r="F212" i="1"/>
  <c r="T211" i="1"/>
  <c r="P211" i="1"/>
  <c r="H211" i="1"/>
  <c r="F211" i="1"/>
  <c r="T210" i="1"/>
  <c r="P210" i="1"/>
  <c r="H210" i="1"/>
  <c r="F210" i="1"/>
  <c r="T209" i="1"/>
  <c r="P209" i="1"/>
  <c r="H209" i="1"/>
  <c r="F209" i="1"/>
  <c r="T208" i="1"/>
  <c r="P208" i="1"/>
  <c r="H208" i="1"/>
  <c r="F208" i="1"/>
  <c r="T207" i="1"/>
  <c r="P207" i="1"/>
  <c r="H207" i="1"/>
  <c r="F207" i="1"/>
  <c r="T206" i="1"/>
  <c r="P206" i="1"/>
  <c r="H206" i="1"/>
  <c r="F206" i="1"/>
  <c r="T205" i="1"/>
  <c r="P205" i="1"/>
  <c r="H205" i="1"/>
  <c r="F205" i="1"/>
  <c r="T204" i="1"/>
  <c r="P204" i="1"/>
  <c r="H204" i="1"/>
  <c r="F204" i="1"/>
  <c r="T203" i="1"/>
  <c r="P203" i="1"/>
  <c r="H203" i="1"/>
  <c r="F203" i="1"/>
  <c r="T202" i="1"/>
  <c r="P202" i="1"/>
  <c r="H202" i="1"/>
  <c r="F202" i="1"/>
  <c r="T201" i="1"/>
  <c r="P201" i="1"/>
  <c r="H201" i="1"/>
  <c r="F201" i="1"/>
  <c r="T200" i="1"/>
  <c r="P200" i="1"/>
  <c r="H200" i="1"/>
  <c r="F200" i="1"/>
  <c r="T199" i="1"/>
  <c r="P199" i="1"/>
  <c r="H199" i="1"/>
  <c r="F199" i="1"/>
  <c r="T198" i="1"/>
  <c r="P198" i="1"/>
  <c r="H198" i="1"/>
  <c r="F198" i="1"/>
  <c r="T197" i="1"/>
  <c r="P197" i="1"/>
  <c r="H197" i="1"/>
  <c r="F197" i="1"/>
  <c r="T196" i="1"/>
  <c r="P196" i="1"/>
  <c r="H196" i="1"/>
  <c r="F196" i="1"/>
  <c r="T195" i="1"/>
  <c r="P195" i="1"/>
  <c r="H195" i="1"/>
  <c r="F195" i="1"/>
  <c r="T194" i="1"/>
  <c r="P194" i="1"/>
  <c r="H194" i="1"/>
  <c r="F194" i="1"/>
  <c r="T193" i="1"/>
  <c r="P193" i="1"/>
  <c r="H193" i="1"/>
  <c r="F193" i="1"/>
  <c r="T192" i="1"/>
  <c r="P192" i="1"/>
  <c r="H192" i="1"/>
  <c r="F192" i="1"/>
  <c r="T191" i="1"/>
  <c r="P191" i="1"/>
  <c r="H191" i="1"/>
  <c r="F191" i="1"/>
  <c r="T190" i="1"/>
  <c r="P190" i="1"/>
  <c r="H190" i="1"/>
  <c r="F190" i="1"/>
  <c r="T189" i="1"/>
  <c r="P189" i="1"/>
  <c r="H189" i="1"/>
  <c r="F189" i="1"/>
  <c r="T188" i="1"/>
  <c r="P188" i="1"/>
  <c r="H188" i="1"/>
  <c r="F188" i="1"/>
  <c r="T187" i="1"/>
  <c r="P187" i="1"/>
  <c r="H187" i="1"/>
  <c r="F187" i="1"/>
  <c r="T186" i="1"/>
  <c r="P186" i="1"/>
  <c r="H186" i="1"/>
  <c r="F186" i="1"/>
  <c r="T185" i="1"/>
  <c r="P185" i="1"/>
  <c r="H185" i="1"/>
  <c r="F185" i="1"/>
  <c r="T184" i="1"/>
  <c r="P184" i="1"/>
  <c r="H184" i="1"/>
  <c r="F184" i="1"/>
  <c r="T183" i="1"/>
  <c r="P183" i="1"/>
  <c r="H183" i="1"/>
  <c r="F183" i="1"/>
  <c r="T182" i="1"/>
  <c r="P182" i="1"/>
  <c r="H182" i="1"/>
  <c r="F182" i="1"/>
  <c r="T181" i="1"/>
  <c r="P181" i="1"/>
  <c r="H181" i="1"/>
  <c r="F181" i="1"/>
  <c r="T180" i="1"/>
  <c r="P180" i="1"/>
  <c r="H180" i="1"/>
  <c r="F180" i="1"/>
  <c r="T179" i="1"/>
  <c r="P179" i="1"/>
  <c r="H179" i="1"/>
  <c r="F179" i="1"/>
  <c r="T178" i="1"/>
  <c r="P178" i="1"/>
  <c r="H178" i="1"/>
  <c r="F178" i="1"/>
  <c r="T177" i="1"/>
  <c r="P177" i="1"/>
  <c r="H177" i="1"/>
  <c r="F177" i="1"/>
  <c r="T176" i="1"/>
  <c r="P176" i="1"/>
  <c r="H176" i="1"/>
  <c r="F176" i="1"/>
  <c r="T175" i="1"/>
  <c r="P175" i="1"/>
  <c r="H175" i="1"/>
  <c r="F175" i="1"/>
  <c r="T174" i="1"/>
  <c r="P174" i="1"/>
  <c r="H174" i="1"/>
  <c r="F174" i="1"/>
  <c r="T173" i="1"/>
  <c r="P173" i="1"/>
  <c r="H173" i="1"/>
  <c r="F173" i="1"/>
  <c r="T172" i="1"/>
  <c r="P172" i="1"/>
  <c r="H172" i="1"/>
  <c r="F172" i="1"/>
  <c r="T171" i="1"/>
  <c r="P171" i="1"/>
  <c r="H171" i="1"/>
  <c r="F171" i="1"/>
  <c r="T170" i="1"/>
  <c r="P170" i="1"/>
  <c r="H170" i="1"/>
  <c r="F170" i="1"/>
  <c r="T169" i="1"/>
  <c r="P169" i="1"/>
  <c r="H169" i="1"/>
  <c r="F169" i="1"/>
  <c r="T168" i="1"/>
  <c r="P168" i="1"/>
  <c r="H168" i="1"/>
  <c r="F168" i="1"/>
  <c r="T167" i="1"/>
  <c r="P167" i="1"/>
  <c r="H167" i="1"/>
  <c r="F167" i="1"/>
  <c r="T166" i="1"/>
  <c r="P166" i="1"/>
  <c r="H166" i="1"/>
  <c r="F166" i="1"/>
  <c r="T165" i="1"/>
  <c r="P165" i="1"/>
  <c r="H165" i="1"/>
  <c r="F165" i="1"/>
  <c r="T164" i="1"/>
  <c r="P164" i="1"/>
  <c r="H164" i="1"/>
  <c r="F164" i="1"/>
  <c r="T163" i="1"/>
  <c r="P163" i="1"/>
  <c r="H163" i="1"/>
  <c r="F163" i="1"/>
  <c r="T162" i="1"/>
  <c r="P162" i="1"/>
  <c r="H162" i="1"/>
  <c r="F162" i="1"/>
  <c r="T161" i="1"/>
  <c r="P161" i="1"/>
  <c r="H161" i="1"/>
  <c r="F161" i="1"/>
  <c r="T160" i="1"/>
  <c r="P160" i="1"/>
  <c r="H160" i="1"/>
  <c r="F160" i="1"/>
  <c r="T159" i="1"/>
  <c r="P159" i="1"/>
  <c r="H159" i="1"/>
  <c r="F159" i="1"/>
  <c r="T158" i="1"/>
  <c r="P158" i="1"/>
  <c r="H158" i="1"/>
  <c r="F158" i="1"/>
  <c r="T157" i="1"/>
  <c r="P157" i="1"/>
  <c r="H157" i="1"/>
  <c r="F157" i="1"/>
  <c r="T156" i="1"/>
  <c r="P156" i="1"/>
  <c r="H156" i="1"/>
  <c r="F156" i="1"/>
  <c r="T155" i="1"/>
  <c r="P155" i="1"/>
  <c r="H155" i="1"/>
  <c r="F155" i="1"/>
  <c r="T154" i="1"/>
  <c r="P154" i="1"/>
  <c r="H154" i="1"/>
  <c r="F154" i="1"/>
  <c r="T153" i="1"/>
  <c r="P153" i="1"/>
  <c r="H153" i="1"/>
  <c r="F153" i="1"/>
  <c r="T152" i="1"/>
  <c r="P152" i="1"/>
  <c r="H152" i="1"/>
  <c r="F152" i="1"/>
  <c r="T151" i="1"/>
  <c r="P151" i="1"/>
  <c r="H151" i="1"/>
  <c r="F151" i="1"/>
  <c r="T150" i="1"/>
  <c r="P150" i="1"/>
  <c r="H150" i="1"/>
  <c r="F150" i="1"/>
  <c r="T149" i="1"/>
  <c r="P149" i="1"/>
  <c r="H149" i="1"/>
  <c r="F149" i="1"/>
  <c r="T148" i="1"/>
  <c r="P148" i="1"/>
  <c r="H148" i="1"/>
  <c r="F148" i="1"/>
  <c r="T147" i="1"/>
  <c r="P147" i="1"/>
  <c r="H147" i="1"/>
  <c r="F147" i="1"/>
  <c r="T146" i="1"/>
  <c r="P146" i="1"/>
  <c r="H146" i="1"/>
  <c r="F146" i="1"/>
  <c r="T145" i="1"/>
  <c r="P145" i="1"/>
  <c r="H145" i="1"/>
  <c r="F145" i="1"/>
  <c r="T144" i="1"/>
  <c r="P144" i="1"/>
  <c r="H144" i="1"/>
  <c r="F144" i="1"/>
  <c r="T143" i="1"/>
  <c r="P143" i="1"/>
  <c r="H143" i="1"/>
  <c r="F143" i="1"/>
  <c r="T142" i="1"/>
  <c r="P142" i="1"/>
  <c r="H142" i="1"/>
  <c r="F142" i="1"/>
  <c r="T141" i="1"/>
  <c r="P141" i="1"/>
  <c r="H141" i="1"/>
  <c r="F141" i="1"/>
  <c r="T140" i="1"/>
  <c r="P140" i="1"/>
  <c r="H140" i="1"/>
  <c r="F140" i="1"/>
  <c r="T139" i="1"/>
  <c r="P139" i="1"/>
  <c r="H139" i="1"/>
  <c r="F139" i="1"/>
  <c r="T138" i="1"/>
  <c r="P138" i="1"/>
  <c r="H138" i="1"/>
  <c r="F138" i="1"/>
  <c r="T137" i="1"/>
  <c r="P137" i="1"/>
  <c r="H137" i="1"/>
  <c r="F137" i="1"/>
  <c r="T136" i="1"/>
  <c r="P136" i="1"/>
  <c r="H136" i="1"/>
  <c r="F136" i="1"/>
  <c r="T135" i="1"/>
  <c r="P135" i="1"/>
  <c r="H135" i="1"/>
  <c r="F135" i="1"/>
  <c r="T134" i="1"/>
  <c r="P134" i="1"/>
  <c r="H134" i="1"/>
  <c r="F134" i="1"/>
  <c r="T133" i="1"/>
  <c r="P133" i="1"/>
  <c r="H133" i="1"/>
  <c r="F133" i="1"/>
  <c r="T132" i="1"/>
  <c r="P132" i="1"/>
  <c r="H132" i="1"/>
  <c r="F132" i="1"/>
  <c r="T131" i="1"/>
  <c r="P131" i="1"/>
  <c r="H131" i="1"/>
  <c r="F131" i="1"/>
  <c r="T130" i="1"/>
  <c r="P130" i="1"/>
  <c r="H130" i="1"/>
  <c r="F130" i="1"/>
  <c r="T129" i="1"/>
  <c r="P129" i="1"/>
  <c r="H129" i="1"/>
  <c r="F129" i="1"/>
  <c r="T128" i="1"/>
  <c r="P128" i="1"/>
  <c r="H128" i="1"/>
  <c r="F128" i="1"/>
  <c r="T127" i="1"/>
  <c r="P127" i="1"/>
  <c r="H127" i="1"/>
  <c r="F127" i="1"/>
  <c r="T126" i="1"/>
  <c r="P126" i="1"/>
  <c r="H126" i="1"/>
  <c r="F126" i="1"/>
  <c r="T125" i="1"/>
  <c r="P125" i="1"/>
  <c r="H125" i="1"/>
  <c r="F125" i="1"/>
  <c r="T124" i="1"/>
  <c r="P124" i="1"/>
  <c r="H124" i="1"/>
  <c r="F124" i="1"/>
  <c r="T123" i="1"/>
  <c r="P123" i="1"/>
  <c r="H123" i="1"/>
  <c r="F123" i="1"/>
  <c r="T122" i="1"/>
  <c r="P122" i="1"/>
  <c r="H122" i="1"/>
  <c r="F122" i="1"/>
  <c r="T121" i="1"/>
  <c r="P121" i="1"/>
  <c r="H121" i="1"/>
  <c r="F121" i="1"/>
  <c r="T120" i="1"/>
  <c r="P120" i="1"/>
  <c r="H120" i="1"/>
  <c r="F120" i="1"/>
  <c r="T119" i="1"/>
  <c r="P119" i="1"/>
  <c r="H119" i="1"/>
  <c r="F119" i="1"/>
  <c r="T118" i="1"/>
  <c r="P118" i="1"/>
  <c r="H118" i="1"/>
  <c r="F118" i="1"/>
  <c r="T117" i="1"/>
  <c r="P117" i="1"/>
  <c r="H117" i="1"/>
  <c r="F117" i="1"/>
  <c r="T116" i="1"/>
  <c r="P116" i="1"/>
  <c r="H116" i="1"/>
  <c r="F116" i="1"/>
  <c r="T115" i="1"/>
  <c r="P115" i="1"/>
  <c r="H115" i="1"/>
  <c r="F115" i="1"/>
  <c r="T114" i="1"/>
  <c r="P114" i="1"/>
  <c r="H114" i="1"/>
  <c r="F114" i="1"/>
  <c r="T113" i="1"/>
  <c r="P113" i="1"/>
  <c r="H113" i="1"/>
  <c r="F113" i="1"/>
  <c r="T112" i="1"/>
  <c r="P112" i="1"/>
  <c r="H112" i="1"/>
  <c r="F112" i="1"/>
  <c r="T111" i="1"/>
  <c r="P111" i="1"/>
  <c r="H111" i="1"/>
  <c r="F111" i="1"/>
  <c r="T110" i="1"/>
  <c r="P110" i="1"/>
  <c r="H110" i="1"/>
  <c r="F110" i="1"/>
  <c r="T109" i="1"/>
  <c r="P109" i="1"/>
  <c r="H109" i="1"/>
  <c r="F109" i="1"/>
  <c r="T108" i="1"/>
  <c r="P108" i="1"/>
  <c r="H108" i="1"/>
  <c r="F108" i="1"/>
  <c r="T107" i="1"/>
  <c r="P107" i="1"/>
  <c r="H107" i="1"/>
  <c r="F107" i="1"/>
  <c r="T106" i="1"/>
  <c r="P106" i="1"/>
  <c r="H106" i="1"/>
  <c r="F106" i="1"/>
  <c r="T105" i="1"/>
  <c r="P105" i="1"/>
  <c r="H105" i="1"/>
  <c r="F105" i="1"/>
  <c r="T104" i="1"/>
  <c r="P104" i="1"/>
  <c r="H104" i="1"/>
  <c r="F104" i="1"/>
  <c r="T103" i="1"/>
  <c r="P103" i="1"/>
  <c r="H103" i="1"/>
  <c r="F103" i="1"/>
  <c r="T102" i="1"/>
  <c r="P102" i="1"/>
  <c r="H102" i="1"/>
  <c r="F102" i="1"/>
  <c r="T101" i="1"/>
  <c r="P101" i="1"/>
  <c r="H101" i="1"/>
  <c r="F101" i="1"/>
  <c r="T100" i="1"/>
  <c r="P100" i="1"/>
  <c r="H100" i="1"/>
  <c r="F100" i="1"/>
  <c r="T99" i="1"/>
  <c r="P99" i="1"/>
  <c r="H99" i="1"/>
  <c r="F99" i="1"/>
  <c r="T98" i="1"/>
  <c r="P98" i="1"/>
  <c r="H98" i="1"/>
  <c r="F98" i="1"/>
  <c r="T97" i="1"/>
  <c r="P97" i="1"/>
  <c r="H97" i="1"/>
  <c r="F97" i="1"/>
  <c r="T96" i="1"/>
  <c r="P96" i="1"/>
  <c r="H96" i="1"/>
  <c r="F96" i="1"/>
  <c r="T95" i="1"/>
  <c r="P95" i="1"/>
  <c r="H95" i="1"/>
  <c r="F95" i="1"/>
  <c r="T94" i="1"/>
  <c r="P94" i="1"/>
  <c r="H94" i="1"/>
  <c r="F94" i="1"/>
  <c r="T93" i="1"/>
  <c r="P93" i="1"/>
  <c r="H93" i="1"/>
  <c r="F93" i="1"/>
  <c r="T92" i="1"/>
  <c r="P92" i="1"/>
  <c r="H92" i="1"/>
  <c r="F92" i="1"/>
  <c r="T91" i="1"/>
  <c r="P91" i="1"/>
  <c r="H91" i="1"/>
  <c r="F91" i="1"/>
  <c r="T90" i="1"/>
  <c r="P90" i="1"/>
  <c r="H90" i="1"/>
  <c r="F90" i="1"/>
  <c r="T89" i="1"/>
  <c r="P89" i="1"/>
  <c r="H89" i="1"/>
  <c r="F89" i="1"/>
  <c r="T88" i="1"/>
  <c r="P88" i="1"/>
  <c r="H88" i="1"/>
  <c r="F88" i="1"/>
  <c r="T87" i="1"/>
  <c r="P87" i="1"/>
  <c r="H87" i="1"/>
  <c r="F87" i="1"/>
  <c r="T86" i="1"/>
  <c r="P86" i="1"/>
  <c r="H86" i="1"/>
  <c r="F86" i="1"/>
  <c r="T85" i="1"/>
  <c r="P85" i="1"/>
  <c r="H85" i="1"/>
  <c r="F85" i="1"/>
  <c r="T84" i="1"/>
  <c r="P84" i="1"/>
  <c r="H84" i="1"/>
  <c r="F84" i="1"/>
  <c r="T83" i="1"/>
  <c r="P83" i="1"/>
  <c r="H83" i="1"/>
  <c r="F83" i="1"/>
  <c r="T82" i="1"/>
  <c r="P82" i="1"/>
  <c r="H82" i="1"/>
  <c r="F82" i="1"/>
  <c r="T81" i="1"/>
  <c r="P81" i="1"/>
  <c r="H81" i="1"/>
  <c r="F81" i="1"/>
  <c r="T80" i="1"/>
  <c r="P80" i="1"/>
  <c r="H80" i="1"/>
  <c r="F80" i="1"/>
  <c r="T79" i="1"/>
  <c r="P79" i="1"/>
  <c r="H79" i="1"/>
  <c r="F79" i="1"/>
  <c r="T78" i="1"/>
  <c r="P78" i="1"/>
  <c r="H78" i="1"/>
  <c r="F78" i="1"/>
  <c r="T77" i="1"/>
  <c r="P77" i="1"/>
  <c r="H77" i="1"/>
  <c r="F77" i="1"/>
  <c r="T76" i="1"/>
  <c r="P76" i="1"/>
  <c r="H76" i="1"/>
  <c r="F76" i="1"/>
  <c r="T75" i="1"/>
  <c r="P75" i="1"/>
  <c r="H75" i="1"/>
  <c r="F75" i="1"/>
  <c r="T74" i="1"/>
  <c r="P74" i="1"/>
  <c r="H74" i="1"/>
  <c r="F74" i="1"/>
  <c r="T73" i="1"/>
  <c r="P73" i="1"/>
  <c r="H73" i="1"/>
  <c r="F73" i="1"/>
  <c r="T72" i="1"/>
  <c r="P72" i="1"/>
  <c r="H72" i="1"/>
  <c r="F72" i="1"/>
  <c r="T71" i="1"/>
  <c r="P71" i="1"/>
  <c r="H71" i="1"/>
  <c r="F71" i="1"/>
  <c r="T70" i="1"/>
  <c r="P70" i="1"/>
  <c r="H70" i="1"/>
  <c r="F70" i="1"/>
  <c r="T69" i="1"/>
  <c r="P69" i="1"/>
  <c r="H69" i="1"/>
  <c r="F69" i="1"/>
  <c r="T68" i="1"/>
  <c r="P68" i="1"/>
  <c r="H68" i="1"/>
  <c r="F68" i="1"/>
  <c r="T67" i="1"/>
  <c r="P67" i="1"/>
  <c r="H67" i="1"/>
  <c r="F67" i="1"/>
  <c r="T66" i="1"/>
  <c r="P66" i="1"/>
  <c r="H66" i="1"/>
  <c r="F66" i="1"/>
  <c r="T65" i="1"/>
  <c r="P65" i="1"/>
  <c r="H65" i="1"/>
  <c r="F65" i="1"/>
  <c r="T64" i="1"/>
  <c r="P64" i="1"/>
  <c r="H64" i="1"/>
  <c r="F64" i="1"/>
  <c r="T63" i="1"/>
  <c r="P63" i="1"/>
  <c r="H63" i="1"/>
  <c r="F63" i="1"/>
  <c r="T62" i="1"/>
  <c r="P62" i="1"/>
  <c r="H62" i="1"/>
  <c r="F62" i="1"/>
  <c r="T61" i="1"/>
  <c r="P61" i="1"/>
  <c r="H61" i="1"/>
  <c r="F61" i="1"/>
  <c r="T60" i="1"/>
  <c r="P60" i="1"/>
  <c r="H60" i="1"/>
  <c r="F60" i="1"/>
  <c r="T59" i="1"/>
  <c r="P59" i="1"/>
  <c r="H59" i="1"/>
  <c r="F59" i="1"/>
  <c r="T58" i="1"/>
  <c r="P58" i="1"/>
  <c r="H58" i="1"/>
  <c r="F58" i="1"/>
  <c r="T57" i="1"/>
  <c r="P57" i="1"/>
  <c r="H57" i="1"/>
  <c r="F57" i="1"/>
  <c r="T56" i="1"/>
  <c r="P56" i="1"/>
  <c r="H56" i="1"/>
  <c r="F56" i="1"/>
  <c r="T55" i="1"/>
  <c r="P55" i="1"/>
  <c r="H55" i="1"/>
  <c r="F55" i="1"/>
  <c r="T54" i="1"/>
  <c r="P54" i="1"/>
  <c r="H54" i="1"/>
  <c r="F54" i="1"/>
  <c r="T53" i="1"/>
  <c r="P53" i="1"/>
  <c r="H53" i="1"/>
  <c r="F53" i="1"/>
  <c r="T52" i="1"/>
  <c r="P52" i="1"/>
  <c r="H52" i="1"/>
  <c r="F52" i="1"/>
  <c r="T51" i="1"/>
  <c r="P51" i="1"/>
  <c r="H51" i="1"/>
  <c r="F51" i="1"/>
  <c r="T50" i="1"/>
  <c r="P50" i="1"/>
  <c r="H50" i="1"/>
  <c r="F50" i="1"/>
  <c r="T49" i="1"/>
  <c r="P49" i="1"/>
  <c r="H49" i="1"/>
  <c r="F49" i="1"/>
  <c r="T48" i="1"/>
  <c r="P48" i="1"/>
  <c r="H48" i="1"/>
  <c r="F48" i="1"/>
  <c r="T47" i="1"/>
  <c r="P47" i="1"/>
  <c r="H47" i="1"/>
  <c r="F47" i="1"/>
  <c r="T46" i="1"/>
  <c r="P46" i="1"/>
  <c r="H46" i="1"/>
  <c r="F46" i="1"/>
  <c r="T45" i="1"/>
  <c r="P45" i="1"/>
  <c r="H45" i="1"/>
  <c r="F45" i="1"/>
  <c r="T44" i="1"/>
  <c r="P44" i="1"/>
  <c r="H44" i="1"/>
  <c r="F44" i="1"/>
  <c r="T43" i="1"/>
  <c r="P43" i="1"/>
  <c r="H43" i="1"/>
  <c r="F43" i="1"/>
  <c r="T42" i="1"/>
  <c r="P42" i="1"/>
  <c r="H42" i="1"/>
  <c r="F42" i="1"/>
  <c r="T41" i="1"/>
  <c r="P41" i="1"/>
  <c r="H41" i="1"/>
  <c r="F41" i="1"/>
  <c r="T40" i="1"/>
  <c r="P40" i="1"/>
  <c r="H40" i="1"/>
  <c r="F40" i="1"/>
  <c r="T39" i="1"/>
  <c r="P39" i="1"/>
  <c r="H39" i="1"/>
  <c r="F39" i="1"/>
  <c r="T38" i="1"/>
  <c r="P38" i="1"/>
  <c r="H38" i="1"/>
  <c r="F38" i="1"/>
  <c r="T37" i="1"/>
  <c r="P37" i="1"/>
  <c r="H37" i="1"/>
  <c r="F37" i="1"/>
  <c r="T36" i="1"/>
  <c r="P36" i="1"/>
  <c r="H36" i="1"/>
  <c r="F36" i="1"/>
  <c r="T35" i="1"/>
  <c r="P35" i="1"/>
  <c r="H35" i="1"/>
  <c r="F35" i="1"/>
  <c r="T34" i="1"/>
  <c r="P34" i="1"/>
  <c r="H34" i="1"/>
  <c r="F34" i="1"/>
  <c r="T33" i="1"/>
  <c r="P33" i="1"/>
  <c r="H33" i="1"/>
  <c r="F33" i="1"/>
  <c r="T32" i="1"/>
  <c r="P32" i="1"/>
  <c r="H32" i="1"/>
  <c r="F32" i="1"/>
  <c r="T31" i="1"/>
  <c r="P31" i="1"/>
  <c r="H31" i="1"/>
  <c r="F31" i="1"/>
  <c r="T30" i="1"/>
  <c r="P30" i="1"/>
  <c r="H30" i="1"/>
  <c r="F30" i="1"/>
  <c r="T29" i="1"/>
  <c r="P29" i="1"/>
  <c r="H29" i="1"/>
  <c r="F29" i="1"/>
  <c r="T28" i="1"/>
  <c r="P28" i="1"/>
  <c r="H28" i="1"/>
  <c r="F28" i="1"/>
  <c r="T27" i="1"/>
  <c r="P27" i="1"/>
  <c r="H27" i="1"/>
  <c r="F27" i="1"/>
  <c r="T26" i="1"/>
  <c r="P26" i="1"/>
  <c r="H26" i="1"/>
  <c r="F26" i="1"/>
  <c r="T25" i="1"/>
  <c r="P25" i="1"/>
  <c r="H25" i="1"/>
  <c r="F25" i="1"/>
  <c r="T24" i="1"/>
  <c r="P24" i="1"/>
  <c r="H24" i="1"/>
  <c r="F24" i="1"/>
  <c r="T23" i="1"/>
  <c r="P23" i="1"/>
  <c r="H23" i="1"/>
  <c r="F23" i="1"/>
  <c r="T22" i="1"/>
  <c r="P22" i="1"/>
  <c r="H22" i="1"/>
  <c r="F22" i="1"/>
  <c r="T21" i="1"/>
  <c r="P21" i="1"/>
  <c r="H21" i="1"/>
  <c r="F21" i="1"/>
  <c r="T20" i="1"/>
  <c r="P20" i="1"/>
  <c r="H20" i="1"/>
  <c r="F20" i="1"/>
  <c r="T19" i="1"/>
  <c r="P19" i="1"/>
  <c r="H19" i="1"/>
  <c r="F19" i="1"/>
  <c r="T18" i="1"/>
  <c r="P18" i="1"/>
  <c r="H18" i="1"/>
  <c r="F18" i="1"/>
  <c r="T17" i="1"/>
  <c r="P17" i="1"/>
  <c r="H17" i="1"/>
  <c r="F17" i="1"/>
  <c r="T16" i="1"/>
  <c r="P16" i="1"/>
  <c r="H16" i="1"/>
  <c r="F16" i="1"/>
  <c r="T15" i="1"/>
  <c r="P15" i="1"/>
  <c r="H15" i="1"/>
  <c r="F15" i="1"/>
  <c r="T14" i="1"/>
  <c r="P14" i="1"/>
  <c r="H14" i="1"/>
  <c r="F14" i="1"/>
  <c r="T13" i="1"/>
  <c r="P13" i="1"/>
  <c r="H13" i="1"/>
  <c r="F13" i="1"/>
  <c r="T12" i="1"/>
  <c r="P12" i="1"/>
  <c r="H12" i="1"/>
  <c r="F12" i="1"/>
  <c r="T11" i="1"/>
  <c r="P11" i="1"/>
  <c r="H11" i="1"/>
  <c r="F11" i="1"/>
  <c r="T10" i="1"/>
  <c r="P10" i="1"/>
  <c r="H10" i="1"/>
  <c r="F10" i="1"/>
  <c r="T9" i="1"/>
  <c r="P9" i="1"/>
  <c r="H9" i="1"/>
  <c r="F9" i="1"/>
  <c r="T8" i="1"/>
  <c r="P8" i="1"/>
  <c r="H8" i="1"/>
  <c r="F8" i="1"/>
  <c r="T7" i="1"/>
  <c r="P7" i="1"/>
  <c r="H7" i="1"/>
  <c r="F7" i="1"/>
  <c r="T6" i="1"/>
  <c r="P6" i="1"/>
  <c r="H6" i="1"/>
  <c r="F6" i="1"/>
  <c r="T5" i="1"/>
  <c r="J5" i="8" s="1"/>
  <c r="P5" i="1"/>
  <c r="I5" i="8" s="1"/>
  <c r="H5" i="1"/>
  <c r="F5" i="1"/>
  <c r="T4" i="1"/>
  <c r="P4" i="1"/>
  <c r="H4" i="1"/>
  <c r="F4" i="1"/>
  <c r="T3" i="1"/>
  <c r="P3" i="1"/>
  <c r="H3" i="1"/>
  <c r="F3" i="1"/>
  <c r="T2" i="1"/>
  <c r="P2" i="1"/>
  <c r="H2" i="1"/>
  <c r="F2" i="1"/>
  <c r="C7" i="5"/>
  <c r="B7" i="5"/>
  <c r="C4" i="5"/>
  <c r="B4" i="5"/>
  <c r="C3" i="5"/>
  <c r="B3" i="5"/>
  <c r="C2" i="5"/>
  <c r="B2" i="5"/>
  <c r="F2" i="5" l="1"/>
  <c r="F3" i="5"/>
  <c r="F4" i="5"/>
  <c r="F7" i="5"/>
  <c r="J21" i="8"/>
  <c r="D21" i="8"/>
  <c r="J19" i="8"/>
  <c r="D19" i="8"/>
  <c r="J17" i="8"/>
  <c r="D17" i="8"/>
  <c r="J15" i="8"/>
  <c r="D15" i="8"/>
  <c r="J37" i="8"/>
  <c r="D37" i="8"/>
  <c r="J35" i="8"/>
  <c r="D35" i="8"/>
  <c r="J33" i="8"/>
  <c r="D33" i="8"/>
  <c r="J31" i="8"/>
  <c r="D31" i="8"/>
  <c r="J29" i="8"/>
  <c r="D29" i="8"/>
  <c r="J27" i="8"/>
  <c r="D27" i="8"/>
  <c r="I43" i="8"/>
  <c r="I3" i="8"/>
  <c r="B10" i="2"/>
  <c r="B5" i="5" s="1"/>
  <c r="J43" i="8"/>
  <c r="J3" i="8"/>
  <c r="B11" i="2"/>
  <c r="B6" i="5" s="1"/>
  <c r="I45" i="8"/>
  <c r="I9" i="8"/>
  <c r="J45" i="8"/>
  <c r="J9" i="8"/>
  <c r="I47" i="8"/>
  <c r="I7" i="8"/>
  <c r="J47" i="8"/>
  <c r="J7" i="8"/>
  <c r="J22" i="8"/>
  <c r="D22" i="8"/>
  <c r="J20" i="8"/>
  <c r="D20" i="8"/>
  <c r="J18" i="8"/>
  <c r="D18" i="8"/>
  <c r="J16" i="8"/>
  <c r="D16" i="8"/>
  <c r="J38" i="8"/>
  <c r="D38" i="8"/>
  <c r="J36" i="8"/>
  <c r="D36" i="8"/>
  <c r="J34" i="8"/>
  <c r="D34" i="8"/>
  <c r="J32" i="8"/>
  <c r="D32" i="8"/>
  <c r="J30" i="8"/>
  <c r="D30" i="8"/>
  <c r="J28" i="8"/>
  <c r="D28" i="8"/>
  <c r="I44" i="8"/>
  <c r="I8" i="8"/>
  <c r="C10" i="2"/>
  <c r="J44" i="8"/>
  <c r="J8" i="8"/>
  <c r="C11" i="2"/>
  <c r="I46" i="8"/>
  <c r="I4" i="8"/>
  <c r="J46" i="8"/>
  <c r="J4" i="8"/>
  <c r="I48" i="8"/>
  <c r="I10" i="8"/>
  <c r="J48" i="8"/>
  <c r="J10" i="8"/>
  <c r="D2" i="2"/>
  <c r="E2" i="2" s="1"/>
  <c r="D3" i="2"/>
  <c r="E3" i="2" s="1"/>
  <c r="D4" i="2"/>
  <c r="E4" i="2" s="1"/>
  <c r="D5" i="2"/>
  <c r="E5" i="2" s="1"/>
  <c r="D6" i="2"/>
  <c r="E6" i="2" s="1"/>
  <c r="D7" i="2"/>
  <c r="D8" i="2"/>
  <c r="D9" i="2"/>
  <c r="D12" i="2"/>
  <c r="B10" i="4"/>
  <c r="B11" i="4" s="1"/>
  <c r="B4" i="4"/>
  <c r="B12" i="4"/>
  <c r="B8" i="4"/>
  <c r="B9" i="4" s="1"/>
  <c r="B16" i="4"/>
  <c r="B15" i="4"/>
  <c r="H3" i="8"/>
  <c r="G3" i="8"/>
  <c r="F3" i="8"/>
  <c r="E3" i="8"/>
  <c r="H4" i="8"/>
  <c r="G4" i="8"/>
  <c r="F4" i="8"/>
  <c r="E4" i="8"/>
  <c r="H5" i="8"/>
  <c r="G5" i="8"/>
  <c r="F5" i="8"/>
  <c r="E5" i="8"/>
  <c r="H6" i="8"/>
  <c r="G6" i="8"/>
  <c r="F6" i="8"/>
  <c r="E6" i="8"/>
  <c r="H7" i="8"/>
  <c r="G7" i="8"/>
  <c r="F7" i="8"/>
  <c r="E7" i="8"/>
  <c r="H8" i="8"/>
  <c r="G8" i="8"/>
  <c r="F8" i="8"/>
  <c r="E8" i="8"/>
  <c r="H9" i="8"/>
  <c r="G9" i="8"/>
  <c r="F9" i="8"/>
  <c r="E9" i="8"/>
  <c r="H10" i="8"/>
  <c r="G10" i="8"/>
  <c r="F10" i="8"/>
  <c r="E10" i="8"/>
  <c r="H43" i="8"/>
  <c r="G43" i="8"/>
  <c r="F43" i="8"/>
  <c r="E43" i="8"/>
  <c r="H44" i="8"/>
  <c r="G44" i="8"/>
  <c r="F44" i="8"/>
  <c r="E44" i="8"/>
  <c r="H45" i="8"/>
  <c r="G45" i="8"/>
  <c r="F45" i="8"/>
  <c r="E45" i="8"/>
  <c r="H46" i="8"/>
  <c r="G46" i="8"/>
  <c r="F46" i="8"/>
  <c r="E46" i="8"/>
  <c r="H47" i="8"/>
  <c r="G47" i="8"/>
  <c r="F47" i="8"/>
  <c r="E47" i="8"/>
  <c r="H48" i="8"/>
  <c r="G48" i="8"/>
  <c r="F48" i="8"/>
  <c r="E48" i="8"/>
  <c r="E12" i="2" l="1"/>
  <c r="E7" i="5" s="1"/>
  <c r="D7" i="5"/>
  <c r="E9" i="2"/>
  <c r="E4" i="5" s="1"/>
  <c r="D4" i="5"/>
  <c r="E8" i="2"/>
  <c r="E3" i="5" s="1"/>
  <c r="D3" i="5"/>
  <c r="E7" i="2"/>
  <c r="E2" i="5" s="1"/>
  <c r="D2" i="5"/>
  <c r="D11" i="2"/>
  <c r="C6" i="5"/>
  <c r="F6" i="5" s="1"/>
  <c r="D10" i="2"/>
  <c r="C5" i="5"/>
  <c r="F5" i="5" s="1"/>
  <c r="I28" i="8"/>
  <c r="H28" i="8"/>
  <c r="G28" i="8"/>
  <c r="F28" i="8"/>
  <c r="E28" i="8"/>
  <c r="I30" i="8"/>
  <c r="H30" i="8"/>
  <c r="G30" i="8"/>
  <c r="F30" i="8"/>
  <c r="E30" i="8"/>
  <c r="I32" i="8"/>
  <c r="H32" i="8"/>
  <c r="G32" i="8"/>
  <c r="F32" i="8"/>
  <c r="E32" i="8"/>
  <c r="I34" i="8"/>
  <c r="H34" i="8"/>
  <c r="G34" i="8"/>
  <c r="F34" i="8"/>
  <c r="E34" i="8"/>
  <c r="I36" i="8"/>
  <c r="H36" i="8"/>
  <c r="G36" i="8"/>
  <c r="F36" i="8"/>
  <c r="E36" i="8"/>
  <c r="I38" i="8"/>
  <c r="H38" i="8"/>
  <c r="G38" i="8"/>
  <c r="F38" i="8"/>
  <c r="E38" i="8"/>
  <c r="I16" i="8"/>
  <c r="H16" i="8"/>
  <c r="G16" i="8"/>
  <c r="F16" i="8"/>
  <c r="E16" i="8"/>
  <c r="I18" i="8"/>
  <c r="H18" i="8"/>
  <c r="G18" i="8"/>
  <c r="F18" i="8"/>
  <c r="E18" i="8"/>
  <c r="I20" i="8"/>
  <c r="H20" i="8"/>
  <c r="G20" i="8"/>
  <c r="F20" i="8"/>
  <c r="E20" i="8"/>
  <c r="I22" i="8"/>
  <c r="H22" i="8"/>
  <c r="G22" i="8"/>
  <c r="F22" i="8"/>
  <c r="E22" i="8"/>
  <c r="I27" i="8"/>
  <c r="H27" i="8"/>
  <c r="G27" i="8"/>
  <c r="F27" i="8"/>
  <c r="E27" i="8"/>
  <c r="I29" i="8"/>
  <c r="H29" i="8"/>
  <c r="G29" i="8"/>
  <c r="F29" i="8"/>
  <c r="E29" i="8"/>
  <c r="I31" i="8"/>
  <c r="H31" i="8"/>
  <c r="G31" i="8"/>
  <c r="F31" i="8"/>
  <c r="E31" i="8"/>
  <c r="I33" i="8"/>
  <c r="H33" i="8"/>
  <c r="G33" i="8"/>
  <c r="F33" i="8"/>
  <c r="E33" i="8"/>
  <c r="I35" i="8"/>
  <c r="H35" i="8"/>
  <c r="G35" i="8"/>
  <c r="F35" i="8"/>
  <c r="E35" i="8"/>
  <c r="I37" i="8"/>
  <c r="H37" i="8"/>
  <c r="G37" i="8"/>
  <c r="F37" i="8"/>
  <c r="E37" i="8"/>
  <c r="I15" i="8"/>
  <c r="H15" i="8"/>
  <c r="G15" i="8"/>
  <c r="F15" i="8"/>
  <c r="E15" i="8"/>
  <c r="I17" i="8"/>
  <c r="H17" i="8"/>
  <c r="G17" i="8"/>
  <c r="F17" i="8"/>
  <c r="E17" i="8"/>
  <c r="I19" i="8"/>
  <c r="H19" i="8"/>
  <c r="G19" i="8"/>
  <c r="F19" i="8"/>
  <c r="E19" i="8"/>
  <c r="I21" i="8"/>
  <c r="H21" i="8"/>
  <c r="G21" i="8"/>
  <c r="F21" i="8"/>
  <c r="E21" i="8"/>
  <c r="E10" i="2" l="1"/>
  <c r="E5" i="5" s="1"/>
  <c r="D5" i="5"/>
  <c r="E11" i="2"/>
  <c r="E6" i="5" s="1"/>
  <c r="D6" i="5"/>
</calcChain>
</file>

<file path=xl/sharedStrings.xml><?xml version="1.0" encoding="utf-8"?>
<sst xmlns="http://schemas.openxmlformats.org/spreadsheetml/2006/main" count="8670" uniqueCount="1508">
  <si>
    <t>user_id</t>
  </si>
  <si>
    <t>signup_date</t>
  </si>
  <si>
    <t>experiment_group</t>
  </si>
  <si>
    <t>region</t>
  </si>
  <si>
    <t>device_type</t>
  </si>
  <si>
    <t>device_type_clean</t>
  </si>
  <si>
    <t>traffic_source</t>
  </si>
  <si>
    <t>traffic_source_clean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</si>
  <si>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</si>
  <si>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</si>
  <si>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</si>
  <si>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</si>
  <si>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</si>
  <si>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</si>
  <si>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</si>
  <si>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support_ticket_user</t>
  </si>
  <si>
    <t>refund_requested</t>
  </si>
  <si>
    <t>days_to_convert</t>
  </si>
  <si>
    <t>engagement_score</t>
  </si>
  <si>
    <t>engagement_score_clean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</si>
  <si>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</si>
  <si>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</si>
  <si>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</si>
  <si>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</si>
  <si>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</si>
  <si>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</si>
  <si>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</si>
  <si>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</si>
  <si>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</si>
  <si>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</si>
  <si>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</si>
  <si>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</si>
  <si>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</si>
  <si>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</si>
  <si>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</si>
  <si>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</si>
  <si>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</si>
  <si>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</si>
  <si>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</si>
  <si>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</si>
  <si>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</si>
  <si>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</si>
  <si>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</si>
  <si>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</si>
  <si>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</si>
  <si>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</si>
  <si>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</si>
  <si>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</si>
  <si>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</si>
  <si>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</si>
  <si>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</si>
  <si>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</si>
  <si>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</si>
  <si>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</si>
  <si>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</si>
  <si>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</si>
  <si>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</si>
  <si>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</si>
  <si>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</si>
  <si>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</si>
  <si>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</si>
  <si>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</si>
  <si>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</si>
  <si>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</si>
  <si>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</si>
  <si>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</si>
  <si>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</si>
  <si>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</si>
  <si>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</si>
  <si>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</si>
  <si>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</si>
  <si>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</si>
  <si>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</si>
  <si>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</si>
  <si>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</si>
  <si>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</si>
  <si>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</si>
  <si>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</si>
  <si>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</si>
  <si>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</si>
  <si>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</si>
  <si>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</si>
  <si>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</si>
  <si>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</si>
  <si>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</si>
  <si>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</si>
  <si>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</si>
  <si>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</si>
  <si>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</si>
  <si>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</si>
  <si>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</si>
  <si>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</si>
  <si>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</si>
  <si>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</si>
  <si>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</si>
  <si>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</si>
  <si>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</si>
  <si>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</si>
  <si>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</si>
  <si>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</si>
  <si>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</si>
  <si>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</si>
  <si>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</si>
  <si>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</si>
  <si>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</si>
  <si>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</si>
  <si>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</si>
  <si>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</si>
  <si>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</si>
  <si>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</si>
  <si>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</si>
  <si>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</si>
  <si>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</si>
  <si>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</si>
  <si>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</si>
  <si>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</si>
  <si>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</si>
  <si>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</si>
  <si>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</si>
  <si>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</si>
  <si>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</si>
  <si>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</si>
  <si>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</si>
  <si>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</si>
  <si>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</si>
  <si>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</si>
  <si>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</si>
  <si>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</si>
  <si>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</si>
  <si>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</si>
  <si>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</si>
  <si>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</si>
  <si>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</si>
  <si>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</si>
  <si>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</si>
  <si>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</si>
  <si>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</si>
  <si>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</si>
  <si>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</si>
  <si>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</si>
  <si>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</si>
  <si>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</si>
  <si>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</si>
  <si>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</si>
  <si>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</si>
  <si>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</si>
  <si>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</si>
  <si>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</si>
  <si>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</si>
  <si>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</si>
  <si>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</si>
  <si>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</si>
  <si>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</si>
  <si>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</si>
  <si>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</si>
  <si>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</si>
  <si>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</si>
  <si>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</si>
  <si>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</si>
  <si>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</si>
  <si>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</si>
  <si>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</si>
  <si>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</si>
  <si>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</si>
  <si>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</si>
  <si>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</si>
  <si>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</si>
  <si>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</si>
  <si>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</si>
  <si>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</si>
  <si>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</si>
  <si>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</si>
  <si>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</si>
  <si>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</si>
  <si>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</si>
  <si>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</si>
  <si>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</si>
  <si>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</si>
  <si>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</si>
  <si>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</si>
  <si>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</si>
  <si>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</si>
  <si>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</si>
  <si>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</si>
  <si>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</si>
  <si>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</si>
  <si>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</si>
  <si>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</si>
  <si>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</si>
  <si>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</si>
  <si>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</si>
  <si>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</si>
  <si>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</si>
  <si>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</si>
  <si>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</si>
  <si>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</si>
  <si>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</si>
  <si>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</si>
  <si>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</si>
  <si>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</si>
  <si>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</si>
  <si>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</si>
  <si>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</si>
  <si>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</si>
  <si>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</si>
  <si>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</si>
  <si>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</si>
  <si>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</si>
  <si>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</si>
  <si>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</si>
  <si>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</si>
  <si>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</si>
  <si>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</si>
  <si>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</si>
  <si>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</si>
  <si>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</si>
  <si>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</si>
  <si>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</si>
  <si>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</si>
  <si>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</si>
  <si>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</si>
  <si>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</si>
  <si>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</si>
  <si>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</si>
  <si>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</si>
  <si>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</si>
  <si>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</si>
  <si>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</si>
  <si>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</si>
  <si>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</si>
  <si>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</si>
  <si>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</si>
  <si>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</si>
  <si>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</si>
  <si>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</si>
  <si>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</si>
  <si>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</si>
  <si>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</si>
  <si>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</si>
  <si>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</si>
  <si>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</si>
  <si>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</si>
  <si>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</si>
  <si>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</si>
  <si>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</si>
  <si>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</si>
  <si>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</si>
  <si>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</si>
  <si>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</si>
  <si>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</si>
  <si>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</si>
  <si>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</si>
  <si>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</si>
  <si>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</si>
  <si>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</si>
  <si>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</si>
  <si>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</si>
  <si>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</si>
  <si>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</si>
  <si>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</si>
  <si>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</si>
  <si>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</si>
  <si>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</si>
  <si>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</si>
  <si>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</si>
  <si>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</si>
  <si>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</si>
  <si>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</si>
  <si>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</si>
  <si>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</si>
  <si>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</si>
  <si>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</si>
  <si>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</si>
  <si>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</si>
  <si>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</si>
  <si>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</si>
  <si>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</si>
  <si>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</si>
  <si>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</si>
  <si>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</si>
  <si>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</si>
  <si>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</si>
  <si>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</si>
  <si>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</si>
  <si>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</si>
  <si>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</si>
  <si>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</si>
  <si>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</si>
  <si>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</si>
  <si>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</si>
  <si>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</si>
  <si>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</si>
  <si>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</si>
  <si>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</si>
  <si>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</si>
  <si>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</si>
  <si>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</si>
  <si>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</si>
  <si>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</si>
  <si>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</si>
  <si>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</si>
  <si>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</si>
  <si>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</si>
  <si>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</si>
  <si>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</si>
  <si>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</si>
  <si>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</si>
  <si>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</si>
  <si>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</si>
  <si>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</si>
  <si>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</si>
  <si>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</si>
  <si>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</si>
  <si>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</si>
  <si>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</si>
  <si>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</si>
  <si>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</si>
  <si>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</si>
  <si>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</si>
  <si>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</si>
  <si>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</si>
  <si>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</si>
  <si>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</si>
  <si>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</si>
  <si>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</si>
  <si>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</si>
  <si>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</si>
  <si>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</si>
  <si>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</si>
  <si>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</si>
  <si>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</si>
  <si>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</si>
  <si>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</si>
  <si>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</si>
  <si>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</si>
  <si>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</si>
  <si>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</si>
  <si>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</si>
  <si>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</si>
  <si>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</si>
  <si>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</si>
  <si>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</si>
  <si>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</si>
  <si>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</si>
  <si>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</si>
  <si>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</si>
  <si>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</si>
  <si>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</si>
  <si>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</si>
  <si>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</si>
  <si>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</si>
  <si>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</si>
  <si>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</si>
  <si>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</si>
  <si>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</si>
  <si>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</si>
  <si>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</si>
  <si>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</si>
  <si>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</si>
  <si>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</si>
  <si>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</si>
  <si>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</si>
  <si>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</si>
  <si>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</si>
  <si>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</si>
  <si>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</si>
  <si>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</si>
  <si>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</si>
  <si>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</si>
  <si>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</si>
  <si>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</si>
  <si>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</si>
  <si>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</si>
  <si>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</si>
  <si>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</si>
  <si>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</si>
  <si>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</si>
  <si>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</si>
  <si>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</si>
  <si>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</si>
  <si>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</si>
  <si>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</si>
  <si>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</si>
  <si>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</si>
  <si>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</si>
  <si>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</si>
  <si>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</si>
  <si>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</si>
  <si>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</si>
  <si>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</si>
  <si>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</si>
  <si>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</si>
  <si>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</si>
  <si>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</si>
  <si>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</si>
  <si>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</si>
  <si>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</si>
  <si>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</si>
  <si>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</si>
  <si>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</si>
  <si>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</si>
  <si>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</si>
  <si>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</si>
  <si>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</si>
  <si>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</si>
  <si>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</si>
  <si>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</si>
  <si>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</si>
  <si>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</si>
  <si>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</si>
  <si>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</si>
  <si>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</si>
  <si>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</si>
  <si>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</si>
  <si>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</si>
  <si>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</si>
  <si>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</si>
  <si>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</si>
  <si>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</si>
  <si>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</si>
  <si>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</si>
  <si>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</si>
  <si>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</si>
  <si>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</si>
  <si>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</si>
  <si>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</si>
  <si>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</si>
  <si>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</si>
  <si>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</si>
  <si>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</si>
  <si>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</si>
  <si>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</si>
  <si>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</si>
  <si>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</si>
  <si>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</si>
  <si>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</si>
  <si>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</si>
  <si>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</si>
  <si>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</si>
  <si>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</si>
  <si>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</si>
  <si>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</si>
  <si>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</si>
  <si>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</si>
  <si>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</si>
  <si>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</si>
  <si>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</si>
  <si>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</si>
  <si>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</si>
  <si>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</si>
  <si>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</si>
  <si>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</si>
  <si>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</si>
  <si>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</si>
  <si>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</si>
  <si>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</si>
  <si>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</si>
  <si>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</si>
  <si>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</si>
  <si>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</si>
  <si>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</si>
  <si>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</si>
  <si>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</si>
  <si>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</si>
  <si>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</si>
  <si>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</si>
  <si>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</si>
  <si>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</si>
  <si>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</si>
  <si>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</si>
  <si>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</si>
  <si>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</si>
  <si>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</si>
  <si>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</si>
  <si>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</si>
  <si>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</si>
  <si>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</si>
  <si>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</si>
  <si>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</si>
  <si>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</si>
  <si>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</si>
  <si>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</si>
  <si>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</si>
  <si>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</si>
  <si>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</si>
  <si>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</si>
  <si>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</si>
  <si>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</si>
  <si>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</si>
  <si>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</si>
  <si>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</si>
  <si>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</si>
  <si>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</si>
  <si>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</si>
  <si>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</si>
  <si>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</si>
  <si>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</si>
  <si>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</si>
  <si>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</si>
  <si>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</si>
  <si>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</si>
  <si>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</si>
  <si>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</si>
  <si>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</si>
  <si>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</si>
  <si>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</si>
  <si>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</si>
  <si>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</si>
  <si>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</si>
  <si>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</si>
  <si>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</si>
  <si>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</si>
  <si>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</si>
  <si>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</si>
  <si>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</si>
  <si>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</si>
  <si>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</si>
  <si>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</si>
  <si>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</si>
  <si>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</si>
  <si>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</si>
  <si>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</si>
  <si>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</si>
  <si>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</si>
  <si>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</si>
  <si>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</si>
  <si>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</si>
  <si>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</si>
  <si>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</si>
  <si>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</si>
  <si>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</si>
  <si>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</si>
  <si>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</si>
  <si>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</si>
  <si>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</si>
  <si>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</si>
  <si>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</si>
  <si>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</si>
  <si>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</si>
  <si>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</si>
  <si>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</si>
  <si>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</si>
  <si>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</si>
  <si>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</si>
  <si>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</si>
  <si>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</si>
  <si>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</si>
  <si>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</si>
  <si>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</si>
  <si>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</si>
  <si>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</si>
  <si>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</si>
  <si>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</si>
  <si>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</si>
  <si>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</si>
  <si>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</si>
  <si>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</si>
  <si>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</si>
  <si>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</si>
  <si>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</si>
  <si>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</si>
  <si>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</si>
  <si>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</si>
  <si>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</si>
  <si>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</si>
  <si>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</si>
  <si>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</si>
  <si>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</si>
  <si>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</si>
  <si>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</si>
  <si>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</si>
  <si>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</si>
  <si>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</si>
  <si>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</si>
  <si>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</si>
  <si>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</si>
  <si>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</si>
  <si>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</si>
  <si>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</si>
  <si>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</si>
  <si>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</si>
  <si>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</si>
  <si>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</si>
  <si>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</si>
  <si>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</si>
  <si>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</si>
  <si>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</si>
  <si>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</si>
  <si>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</si>
  <si>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</si>
  <si>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</si>
  <si>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</si>
  <si>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</si>
  <si>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</si>
  <si>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</si>
  <si>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</si>
  <si>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</si>
  <si>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</si>
  <si>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</si>
  <si>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</si>
  <si>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</si>
  <si>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</si>
  <si>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</si>
  <si>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</si>
  <si>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</si>
  <si>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</si>
  <si>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</si>
  <si>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</si>
  <si>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</si>
  <si>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</si>
  <si>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</si>
  <si>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</si>
  <si>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</si>
  <si>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</si>
  <si>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</si>
  <si>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</si>
  <si>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</si>
  <si>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</si>
  <si>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</si>
  <si>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</si>
  <si>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</si>
  <si>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</si>
  <si>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</si>
  <si>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</si>
  <si>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</si>
  <si>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</si>
  <si>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</si>
  <si>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</si>
  <si>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</si>
  <si>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</si>
  <si>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</si>
  <si>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</si>
  <si>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</si>
  <si>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</si>
  <si>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</si>
  <si>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</si>
  <si>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</si>
  <si>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</si>
  <si>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</si>
  <si>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</si>
  <si>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</si>
  <si>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</si>
  <si>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</si>
  <si>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</si>
  <si>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</si>
  <si>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</si>
  <si>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</si>
  <si>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</si>
  <si>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</si>
  <si>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</si>
  <si>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</si>
  <si>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</si>
  <si>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</si>
  <si>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</si>
  <si>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</si>
  <si>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</si>
  <si>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</si>
  <si>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</si>
  <si>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</si>
  <si>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</si>
  <si>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</si>
  <si>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</si>
  <si>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</si>
  <si>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</si>
  <si>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</si>
  <si>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</si>
  <si>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</si>
  <si>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</si>
  <si>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</si>
  <si>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</si>
  <si>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</si>
  <si>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</si>
  <si>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</si>
  <si>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</si>
  <si>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</si>
  <si>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</si>
  <si>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</si>
  <si>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</si>
  <si>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</si>
  <si>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</si>
  <si>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</si>
  <si>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</si>
  <si>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</si>
  <si>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</si>
  <si>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</si>
  <si>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</si>
  <si>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</si>
  <si>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</si>
  <si>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</si>
  <si>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</si>
  <si>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</si>
  <si>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</si>
  <si>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</si>
  <si>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</si>
  <si>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</si>
  <si>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</si>
  <si>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</si>
  <si>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</si>
  <si>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</si>
  <si>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</si>
  <si>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</si>
  <si>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</si>
  <si>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</si>
  <si>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</si>
  <si>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</si>
  <si>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</si>
  <si>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</si>
  <si>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</si>
  <si>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</si>
  <si>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</si>
  <si>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</si>
  <si>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</si>
  <si>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</si>
  <si>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</si>
  <si>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</si>
  <si>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</si>
  <si>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</si>
  <si>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</si>
  <si>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</si>
  <si>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</si>
  <si>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</si>
  <si>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</si>
  <si>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</si>
  <si>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</si>
  <si>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</si>
  <si>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</si>
  <si>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</si>
  <si>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</si>
  <si>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</si>
  <si>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</si>
  <si>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</si>
  <si>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</si>
  <si>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</si>
  <si>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</si>
  <si>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</si>
  <si>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</si>
  <si>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</si>
  <si>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</si>
  <si>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</si>
  <si>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</si>
  <si>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</si>
  <si>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</si>
  <si>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</si>
  <si>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</si>
  <si>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</si>
  <si>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</si>
  <si>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</si>
  <si>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</si>
  <si>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</si>
  <si>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</si>
  <si>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</si>
  <si>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</si>
  <si>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</si>
  <si>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</si>
  <si>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</si>
  <si>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</si>
  <si>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</si>
  <si>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</si>
  <si>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</si>
  <si>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</si>
  <si>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</si>
  <si>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</si>
  <si>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</si>
  <si>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</si>
  <si>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</si>
  <si>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</si>
  <si>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</si>
  <si>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</si>
  <si>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</si>
  <si>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</si>
  <si>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</si>
  <si>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</si>
  <si>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</si>
  <si>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</si>
  <si>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</si>
  <si>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</si>
  <si>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</si>
  <si>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</si>
  <si>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</si>
  <si>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</si>
  <si>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</si>
  <si>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</si>
  <si>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</si>
  <si>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</si>
  <si>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</si>
  <si>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</si>
  <si>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</si>
  <si>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</si>
  <si>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</si>
  <si>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</si>
  <si>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</si>
  <si>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</si>
  <si>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</si>
  <si>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</si>
  <si>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</si>
  <si>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</si>
  <si>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</si>
  <si>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</si>
  <si>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</si>
  <si>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</si>
  <si>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</si>
  <si>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</si>
  <si>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</si>
  <si>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</si>
  <si>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</si>
  <si>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</si>
  <si>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</si>
  <si>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</si>
  <si>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</si>
  <si>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</si>
  <si>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</si>
  <si>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</si>
  <si>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</si>
  <si>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</si>
  <si>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</si>
  <si>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</si>
  <si>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</si>
  <si>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</si>
  <si>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</si>
  <si>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</si>
  <si>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</si>
  <si>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</si>
  <si>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</si>
  <si>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</si>
  <si>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</si>
  <si>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</si>
  <si>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</si>
  <si>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</si>
  <si>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</si>
  <si>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</si>
  <si>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</si>
  <si>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</si>
  <si>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</si>
  <si>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</si>
  <si>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</si>
  <si>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</si>
  <si>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</si>
  <si>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</si>
  <si>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</si>
  <si>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</si>
  <si>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</si>
  <si>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</si>
  <si>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</si>
  <si>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</si>
  <si>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</si>
  <si>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</si>
  <si>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</si>
  <si>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</si>
  <si>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</si>
  <si>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</si>
  <si>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</si>
  <si>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</si>
  <si>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</si>
  <si>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</si>
  <si>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</si>
  <si>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</si>
  <si>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</si>
  <si>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</si>
  <si>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</si>
  <si>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</si>
  <si>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</si>
  <si>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</si>
  <si>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</si>
  <si>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</si>
  <si>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</si>
  <si>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</si>
  <si>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</si>
  <si>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</si>
  <si>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</si>
  <si>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</si>
  <si>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</si>
  <si>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</si>
  <si>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</si>
  <si>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</si>
  <si>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</si>
  <si>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</si>
  <si>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</si>
  <si>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</si>
  <si>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</si>
  <si>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</si>
  <si>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</si>
  <si>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</si>
  <si>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</si>
  <si>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</si>
  <si>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</si>
  <si>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</si>
  <si>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</si>
  <si>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</si>
  <si>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</si>
  <si>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</si>
  <si>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</si>
  <si>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</si>
  <si>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</si>
  <si>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</si>
  <si>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</si>
  <si>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</si>
  <si>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</si>
  <si>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</si>
  <si>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</si>
  <si>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</si>
  <si>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</si>
  <si>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</si>
  <si>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</si>
  <si>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</si>
  <si>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</si>
  <si>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</si>
  <si>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</si>
  <si>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</si>
  <si>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</si>
  <si>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</si>
  <si>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</si>
  <si>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</si>
  <si>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</si>
  <si>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</si>
  <si>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</si>
  <si>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</si>
  <si>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</si>
  <si>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</si>
  <si>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</si>
  <si>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</si>
  <si>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</si>
  <si>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</si>
  <si>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</si>
  <si>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</si>
  <si>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</si>
  <si>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</si>
  <si>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</si>
  <si>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</si>
  <si>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</si>
  <si>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</si>
  <si>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</si>
  <si>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</si>
  <si>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</si>
  <si>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</si>
  <si>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</si>
  <si>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</si>
  <si>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</si>
  <si>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</si>
  <si>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</si>
  <si>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</si>
  <si>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</si>
  <si>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</si>
  <si>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</si>
  <si>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</si>
  <si>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</si>
  <si>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</si>
  <si>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</si>
  <si>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</si>
  <si>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</si>
  <si>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</si>
  <si>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</si>
  <si>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</si>
  <si>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</si>
  <si>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</si>
  <si>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</si>
  <si>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</si>
  <si>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</si>
  <si>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</si>
  <si>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</si>
  <si>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</si>
  <si>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</si>
  <si>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</si>
  <si>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</si>
  <si>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</si>
  <si>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</si>
  <si>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</si>
  <si>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</si>
  <si>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</si>
  <si>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</si>
  <si>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</si>
  <si>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</si>
  <si>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</si>
  <si>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</si>
  <si>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</si>
  <si>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</si>
  <si>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</si>
  <si>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</si>
  <si>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</si>
  <si>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</si>
  <si>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</si>
  <si>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</si>
  <si>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</si>
  <si>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</si>
  <si>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</si>
  <si>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</si>
  <si>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</si>
  <si>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</si>
  <si>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</si>
  <si>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</si>
  <si>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</si>
  <si>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</si>
  <si>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</si>
  <si>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</si>
  <si>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</si>
  <si>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</si>
  <si>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</si>
  <si>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</si>
  <si>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</si>
  <si>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</si>
  <si>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</si>
  <si>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</si>
  <si>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</si>
  <si>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</si>
  <si>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</si>
  <si>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</si>
  <si>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</si>
  <si>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</si>
  <si>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</si>
  <si>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</si>
  <si>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</si>
  <si>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</si>
  <si>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</si>
  <si>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</si>
  <si>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</si>
  <si>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</si>
  <si>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</si>
  <si>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</si>
  <si>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</si>
  <si>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</si>
  <si>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</si>
  <si>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</si>
  <si>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</si>
  <si>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</si>
  <si>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</si>
  <si>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</si>
  <si>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</si>
  <si>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</si>
  <si>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</si>
  <si>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</si>
  <si>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</si>
  <si>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</si>
  <si>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</si>
  <si>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</si>
  <si>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</si>
  <si>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</si>
  <si>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</si>
  <si>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</si>
  <si>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</si>
  <si>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</si>
  <si>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</si>
  <si>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</si>
  <si>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</si>
  <si>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</si>
  <si>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</si>
  <si>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</si>
  <si>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</si>
  <si>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</si>
  <si>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</si>
  <si>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</si>
  <si>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</si>
  <si>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</si>
  <si>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</si>
  <si>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</si>
  <si>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</si>
  <si>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</si>
  <si>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</si>
  <si>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</si>
  <si>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</si>
  <si>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</si>
  <si>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</si>
  <si>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</si>
  <si>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</si>
  <si>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</si>
  <si>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</si>
  <si>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</si>
  <si>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</si>
  <si>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</si>
  <si>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</si>
  <si>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</si>
  <si>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</si>
  <si>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</si>
  <si>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</si>
  <si>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</si>
  <si>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</si>
  <si>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</si>
  <si>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</si>
  <si>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</si>
  <si>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</si>
  <si>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</si>
  <si>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</si>
  <si>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</si>
  <si>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</si>
  <si>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</si>
  <si>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</si>
  <si>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</si>
  <si>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</si>
  <si>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</si>
  <si>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</si>
  <si>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</si>
  <si>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</si>
  <si>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</si>
  <si>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</si>
  <si>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</si>
  <si>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</si>
  <si>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</si>
  <si>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</si>
  <si>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</si>
  <si>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</si>
  <si>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</si>
  <si>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</si>
  <si>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</si>
  <si>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</si>
  <si>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</si>
  <si>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</si>
  <si>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</si>
  <si>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</si>
  <si>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</si>
  <si>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</si>
  <si>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</si>
  <si>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</si>
  <si>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</si>
  <si>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</si>
  <si>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</si>
  <si>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</si>
  <si>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</si>
  <si>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</si>
  <si>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</si>
  <si>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</si>
  <si>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</si>
  <si>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</si>
  <si>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</si>
  <si>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</si>
  <si>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</si>
  <si>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</si>
  <si>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</si>
  <si>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</si>
  <si>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</si>
  <si>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</si>
  <si>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</si>
  <si>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</si>
  <si>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</si>
  <si>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</si>
  <si>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</si>
  <si>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</si>
  <si>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</si>
  <si>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</si>
  <si>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</si>
  <si>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</si>
  <si>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</si>
  <si>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</si>
  <si>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</si>
  <si>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</si>
  <si>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</si>
  <si>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</si>
  <si>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</si>
  <si>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</si>
  <si>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</si>
  <si>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</si>
  <si>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</si>
  <si>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</si>
  <si>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</si>
  <si>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</si>
  <si>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</si>
  <si>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</si>
  <si>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</si>
  <si>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</si>
  <si>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</si>
  <si>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</si>
  <si>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</si>
  <si>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</si>
  <si>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</si>
  <si>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</si>
  <si>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</si>
  <si>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</si>
  <si>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</si>
  <si>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</si>
  <si>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</si>
  <si>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</si>
  <si>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</si>
  <si>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</si>
  <si>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</si>
  <si>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</si>
  <si>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</si>
  <si>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</si>
  <si>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</si>
  <si>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</si>
  <si>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</si>
  <si>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</si>
  <si>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</si>
  <si>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</si>
  <si>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</si>
  <si>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</si>
  <si>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</si>
  <si>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</si>
  <si>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</si>
  <si>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</si>
  <si>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</si>
  <si>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</si>
  <si>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</si>
  <si>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</si>
  <si>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</si>
  <si>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</si>
  <si>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</si>
  <si>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</si>
  <si>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</si>
  <si>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</si>
  <si>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</si>
  <si>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</si>
  <si>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</si>
  <si>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</si>
  <si>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</si>
  <si>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</si>
  <si>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</si>
  <si>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</si>
  <si>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</si>
  <si>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</si>
  <si>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</si>
  <si>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</si>
  <si>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</si>
  <si>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</si>
  <si>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</si>
  <si>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</si>
  <si>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</si>
  <si>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</si>
  <si>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</si>
  <si>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</si>
  <si>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</si>
  <si>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</si>
  <si>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</si>
  <si>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</si>
  <si>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</si>
  <si>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</si>
  <si>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</si>
  <si>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</si>
  <si>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</si>
  <si>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</si>
  <si>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</si>
  <si>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</si>
  <si>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</si>
  <si>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</si>
  <si>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</si>
  <si>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</si>
  <si>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</si>
  <si>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</si>
  <si>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</si>
  <si>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</si>
  <si>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</si>
  <si>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</si>
  <si>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</si>
  <si>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</si>
  <si>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</si>
  <si>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</si>
  <si>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</si>
  <si>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</si>
  <si>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</si>
  <si>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</si>
  <si>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</si>
  <si>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</si>
  <si>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</si>
  <si>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</si>
  <si>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</si>
  <si>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</si>
  <si>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</si>
  <si>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</si>
  <si>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</si>
  <si>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</si>
  <si>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</si>
  <si>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</si>
  <si>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</si>
  <si>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</si>
  <si>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</si>
  <si>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</si>
  <si>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</si>
  <si>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</si>
  <si>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</si>
  <si>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</si>
  <si>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</si>
  <si>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</si>
  <si>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</si>
  <si>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</si>
  <si>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</si>
  <si>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</si>
  <si>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</si>
  <si>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</si>
  <si>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</si>
  <si>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</si>
  <si>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</si>
  <si>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</si>
  <si>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</si>
  <si>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</si>
  <si>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</si>
  <si>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</si>
  <si>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</si>
  <si>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</si>
  <si>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</si>
  <si>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</si>
  <si>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</si>
  <si>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</si>
  <si>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</si>
  <si>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</si>
  <si>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</si>
  <si>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</si>
  <si>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</si>
  <si>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</si>
  <si>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</si>
  <si>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</si>
  <si>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</si>
  <si>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</si>
  <si>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</si>
  <si>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</si>
  <si>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</si>
  <si>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</si>
  <si>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</si>
  <si>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</si>
  <si>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</si>
  <si>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</si>
  <si>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</si>
  <si>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</si>
  <si>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</si>
  <si>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</si>
  <si>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</si>
  <si>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</si>
  <si>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</si>
  <si>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</si>
  <si>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</si>
  <si>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</si>
  <si>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</si>
  <si>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</si>
  <si>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</si>
  <si>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</si>
  <si>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</si>
  <si>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</si>
  <si>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</si>
  <si>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</si>
  <si>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</si>
  <si>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</si>
  <si>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</si>
  <si>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</si>
  <si>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</si>
  <si>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</si>
  <si>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</si>
  <si>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</si>
  <si>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</si>
  <si>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</si>
  <si>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</si>
  <si>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</si>
  <si>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</si>
  <si>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</si>
  <si>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</si>
  <si>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</si>
  <si>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</si>
  <si>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</si>
  <si>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</si>
  <si>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</si>
  <si>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</si>
  <si>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</si>
  <si>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</si>
  <si>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</si>
  <si>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</si>
  <si>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</si>
  <si>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</si>
  <si>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</si>
  <si>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</si>
  <si>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</si>
  <si>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</si>
  <si>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</si>
  <si>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</si>
  <si>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</si>
  <si>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</si>
  <si>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</si>
  <si>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</si>
  <si>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</si>
  <si>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</si>
  <si>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</si>
  <si>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</si>
  <si>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</si>
  <si>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</si>
  <si>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</si>
  <si>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</si>
  <si>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</si>
  <si>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</si>
  <si>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</si>
  <si>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</si>
  <si>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</si>
  <si>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</si>
  <si>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</si>
  <si>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</si>
  <si>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</si>
  <si>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</si>
  <si>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</si>
  <si>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</si>
  <si>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</si>
  <si>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</si>
  <si>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</si>
  <si>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</si>
  <si>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</si>
  <si>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</si>
  <si>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</si>
  <si>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</si>
  <si>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</si>
  <si>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</si>
  <si>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</si>
  <si>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</si>
  <si>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</si>
  <si>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</si>
  <si>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</si>
  <si>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</si>
  <si>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</si>
  <si>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</si>
  <si>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</si>
  <si>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</si>
  <si>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</si>
  <si>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</si>
  <si>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</si>
  <si>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</si>
  <si>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</si>
  <si>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</si>
  <si>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</si>
  <si>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</si>
  <si>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</si>
  <si>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</si>
  <si>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</si>
  <si>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</si>
  <si>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</si>
  <si>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</si>
  <si>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</si>
  <si>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</si>
  <si>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</si>
  <si>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</si>
  <si>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</si>
  <si>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</si>
  <si>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</si>
  <si>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</si>
  <si>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</si>
  <si>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</si>
  <si>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</si>
  <si>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</si>
  <si>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</si>
  <si>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</si>
  <si>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</si>
  <si>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</si>
  <si>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</si>
  <si>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</si>
  <si>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</si>
  <si>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</si>
  <si>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</si>
  <si>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</si>
  <si>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Group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</si>
  <si>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</si>
  <si>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</si>
  <si>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</si>
  <si>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</si>
  <si>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</si>
  <si>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</si>
  <si>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</si>
  <si>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</si>
  <si>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</si>
  <si>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</si>
  <si>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</si>
  <si>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Number of users in each group</t>
  </si>
  <si>
    <t>Users who visited landing page / total users</t>
  </si>
  <si>
    <t>Users who started trial / total users</t>
  </si>
  <si>
    <t>Users who completed onboarding / total users</t>
  </si>
  <si>
    <t>Users converted to paid / total users</t>
  </si>
  <si>
    <t>Total revenue / total users</t>
  </si>
  <si>
    <t>Revenue / converted users</t>
  </si>
  <si>
    <t>Refund requests / total users</t>
  </si>
  <si>
    <t>Users with support tickets / total users</t>
  </si>
  <si>
    <t>Average score by group</t>
  </si>
  <si>
    <t>Average days for users who converted</t>
  </si>
  <si>
    <t>Region</t>
  </si>
  <si>
    <t>Segment type</t>
  </si>
  <si>
    <t>Segment</t>
  </si>
  <si>
    <t>ARPU</t>
  </si>
  <si>
    <t>Avg engagement score</t>
  </si>
  <si>
    <t>Device Type</t>
  </si>
  <si>
    <t>Unknown</t>
  </si>
  <si>
    <t>Traffic Source</t>
  </si>
  <si>
    <t>Plan Type</t>
  </si>
  <si>
    <t>Metric</t>
  </si>
  <si>
    <t>Absolute delta</t>
  </si>
  <si>
    <t>Relative change</t>
  </si>
  <si>
    <t>Input/Output</t>
  </si>
  <si>
    <t>Value</t>
  </si>
  <si>
    <t>Control converted users</t>
  </si>
  <si>
    <t>Control total users</t>
  </si>
  <si>
    <t>Control paid conversion rate</t>
  </si>
  <si>
    <t>Treatment converted users</t>
  </si>
  <si>
    <t>Treatment total users</t>
  </si>
  <si>
    <t>Treatment paid conversion rate</t>
  </si>
  <si>
    <t>Absolute lift</t>
  </si>
  <si>
    <t>Relative lift</t>
  </si>
  <si>
    <t>Pooled conversion rate</t>
  </si>
  <si>
    <t>Standard error</t>
  </si>
  <si>
    <t>Z-statistic</t>
  </si>
  <si>
    <t>One-tailed p-value</t>
  </si>
  <si>
    <t>Two-tailed p-value</t>
  </si>
  <si>
    <t>Decision at alpha=0.05</t>
  </si>
  <si>
    <t>Business interpretation</t>
  </si>
  <si>
    <t>Risk assessment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</si>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</sst>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%"/>
    <numFmt numFmtId="166" formatCode="&quot;$&quot;#,##0.00"/>
    <numFmt numFmtId="167" formatCode="0.0000"/>
    <numFmt numFmtId="168" formatCode="0.000"/>
  </numFmts>
  <fonts count="6">
    <font>
      <sz val="11"/>
      <name val="Carlito"/>
    </font>
    <font>
      <b/>
      <sz val="11"/>
      <color rgb="FFFFFFFF"/>
      <name val="Carlito"/>
    </font>
    <font>
      <b/>
      <sz val="11"/>
      <color theme="0"/>
      <name val="Aptos Serif"/>
    </font>
    <font>
      <b/>
      <sz val="11"/>
      <color theme="0"/>
      <name val="Carlito"/>
    </font>
    <font>
      <sz val="11"/>
      <name val="Aptos Serif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1F4E7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000000"/>
      </left>
      <right style="thin">
        <color rgb="FF000000"/>
      </right>
      <top/>
      <bottom style="thin">
        <color rgb="FFD9E2F3"/>
      </bottom>
      <diagonal/>
    </border>
    <border>
      <left style="thin">
        <color rgb="FF000000"/>
      </left>
      <right/>
      <top/>
      <bottom style="thin">
        <color rgb="FFD9E2F3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/>
    <xf numFmtId="0" fontId="5" fillId="0" borderId="2" xfId="0" applyFont="1" applyBorder="1" applyAlignment="1">
      <alignment vertical="center" wrapText="1"/>
    </xf>
    <xf numFmtId="1" fontId="5" fillId="0" borderId="2" xfId="0" applyNumberFormat="1" applyFont="1" applyBorder="1" applyAlignment="1">
      <alignment vertical="center" wrapText="1"/>
    </xf>
    <xf numFmtId="165" fontId="5" fillId="0" borderId="2" xfId="0" applyNumberFormat="1" applyFont="1" applyBorder="1" applyAlignment="1">
      <alignment vertical="center" wrapText="1"/>
    </xf>
    <xf numFmtId="166" fontId="5" fillId="0" borderId="2" xfId="0" applyNumberFormat="1" applyFont="1" applyBorder="1" applyAlignment="1">
      <alignment vertical="center" wrapText="1"/>
    </xf>
    <xf numFmtId="2" fontId="5" fillId="0" borderId="2" xfId="0" applyNumberFormat="1" applyFont="1" applyBorder="1" applyAlignment="1">
      <alignment vertical="center" wrapText="1"/>
    </xf>
    <xf numFmtId="167" fontId="5" fillId="0" borderId="2" xfId="0" applyNumberFormat="1" applyFont="1" applyBorder="1" applyAlignment="1">
      <alignment vertical="center" wrapText="1"/>
    </xf>
    <xf numFmtId="168" fontId="5" fillId="0" borderId="2" xfId="0" applyNumberFormat="1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67" fontId="0" fillId="0" borderId="2" xfId="0" applyNumberFormat="1" applyBorder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165" fontId="0" fillId="0" borderId="2" xfId="0" applyNumberFormat="1" applyBorder="1" applyAlignment="1">
      <alignment vertical="center" wrapText="1"/>
    </xf>
    <xf numFmtId="166" fontId="0" fillId="0" borderId="2" xfId="0" applyNumberFormat="1" applyBorder="1" applyAlignment="1">
      <alignment vertical="center" wrapText="1"/>
    </xf>
    <xf numFmtId="2" fontId="0" fillId="0" borderId="2" xfId="0" applyNumberFormat="1" applyBorder="1" applyAlignment="1">
      <alignment vertical="center" wrapText="1"/>
    </xf>
    <xf numFmtId="0" fontId="0" fillId="0" borderId="0" xfId="0" applyAlignment="1">
      <alignment horizontal="center" wrapText="1"/>
    </xf>
    <xf numFmtId="0" fontId="5" fillId="0" borderId="2" xfId="0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5" fillId="0" borderId="3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5" fontId="5" fillId="0" borderId="3" xfId="0" applyNumberFormat="1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vertical="center" wrapText="1"/>
    </xf>
    <xf numFmtId="165" fontId="5" fillId="0" borderId="4" xfId="0" applyNumberFormat="1" applyFont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165" fontId="5" fillId="0" borderId="3" xfId="0" applyNumberFormat="1" applyFont="1" applyBorder="1" applyAlignment="1">
      <alignment vertical="center" wrapText="1"/>
    </xf>
    <xf numFmtId="166" fontId="5" fillId="0" borderId="3" xfId="0" applyNumberFormat="1" applyFont="1" applyBorder="1" applyAlignment="1">
      <alignment vertical="center" wrapText="1"/>
    </xf>
    <xf numFmtId="2" fontId="5" fillId="0" borderId="3" xfId="0" applyNumberFormat="1" applyFont="1" applyBorder="1" applyAlignment="1">
      <alignment vertical="center" wrapText="1"/>
    </xf>
    <xf numFmtId="166" fontId="5" fillId="0" borderId="4" xfId="0" applyNumberFormat="1" applyFont="1" applyBorder="1" applyAlignment="1">
      <alignment vertical="center" wrapText="1"/>
    </xf>
    <xf numFmtId="2" fontId="5" fillId="0" borderId="4" xfId="0" applyNumberFormat="1" applyFont="1" applyBorder="1" applyAlignment="1">
      <alignment vertical="center" wrapText="1"/>
    </xf>
  </cellXfs>
  <cellStyles count="1">
    <cellStyle name="Normal" xfId="0" builtinId="0"/>
  </cellStyles>
  <dxfs count="52"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charset val="1"/>
      </font>
      <alignment horizontal="general" vertical="bottom"/>
      <border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charset val="1"/>
      </font>
      <numFmt numFmtId="14" formatCode="0.00%"/>
      <alignment horizontal="general" vertical="bottom"/>
      <border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charset val="1"/>
      </font>
      <alignment horizontal="general" vertical="bottom"/>
      <border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charset val="1"/>
      </font>
      <alignment horizontal="general" vertical="bottom"/>
      <border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charset val="1"/>
      </font>
      <alignment horizontal="general" vertical="bottom"/>
      <border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charset val="1"/>
      </font>
      <alignment horizontal="general" vertical="bottom"/>
      <border>
        <left/>
        <right/>
        <top/>
        <bottom style="thin">
          <color rgb="FF000000"/>
        </bottom>
        <vertical/>
        <horizontal/>
      </border>
    </dxf>
    <dxf>
      <border outline="0">
        <bottom style="thin">
          <color rgb="FFFFFFFF"/>
        </bottom>
      </border>
    </dxf>
    <dxf>
      <border outline="0"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charset val="1"/>
      </font>
      <alignment horizontal="general" vertical="bottom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charset val="1"/>
      </font>
      <fill>
        <patternFill patternType="solid">
          <fgColor indexed="64"/>
          <bgColor rgb="FF2F75B5"/>
        </patternFill>
      </fill>
      <alignment horizontal="general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charset val="1"/>
      </font>
      <alignment horizontal="general" vertical="bottom"/>
      <border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charset val="1"/>
      </font>
      <alignment horizontal="general" vertical="bottom"/>
      <border>
        <left/>
        <right/>
        <top/>
        <bottom style="thin">
          <color rgb="FF000000"/>
        </bottom>
        <vertical/>
        <horizontal/>
      </border>
    </dxf>
    <dxf>
      <border outline="0">
        <bottom style="thin">
          <color rgb="FFFFFFFF"/>
        </bottom>
      </border>
    </dxf>
    <dxf>
      <border outline="0"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charset val="1"/>
      </font>
      <alignment horizontal="general" vertical="bottom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charset val="1"/>
      </font>
      <fill>
        <patternFill patternType="solid">
          <fgColor indexed="64"/>
          <bgColor rgb="FF2F75B5"/>
        </patternFill>
      </fill>
      <alignment horizontal="general" vertical="bottom"/>
    </dxf>
    <dxf>
      <alignment horizontal="center"/>
      <border>
        <left style="thin">
          <color rgb="FF000000"/>
        </left>
        <right style="thin">
          <color rgb="FF000000"/>
        </right>
      </border>
    </dxf>
    <dxf>
      <alignment horizontal="center"/>
    </dxf>
    <dxf>
      <alignment horizontal="center"/>
      <border>
        <left style="thin">
          <color rgb="FF000000"/>
        </left>
        <right style="thin">
          <color rgb="FF000000"/>
        </right>
      </border>
    </dxf>
    <dxf>
      <alignment horizontal="center"/>
    </dxf>
    <dxf>
      <alignment horizontal="center"/>
      <border>
        <left style="thin">
          <color rgb="FF000000"/>
        </left>
        <right style="thin">
          <color rgb="FF000000"/>
        </right>
      </border>
    </dxf>
    <dxf>
      <alignment horizontal="center"/>
    </dxf>
    <dxf>
      <alignment horizontal="center"/>
      <border>
        <left style="thin">
          <color rgb="FF000000"/>
        </left>
        <right style="thin">
          <color rgb="FF000000"/>
        </right>
      </border>
    </dxf>
    <dxf>
      <alignment horizontal="center"/>
    </dxf>
    <dxf>
      <alignment horizontal="center"/>
      <border>
        <left style="thin">
          <color rgb="FF000000"/>
        </left>
        <right style="thin">
          <color rgb="FF000000"/>
        </right>
      </border>
    </dxf>
    <dxf>
      <alignment horizontal="center"/>
    </dxf>
    <dxf>
      <alignment horizontal="center"/>
      <border>
        <left style="thin">
          <color rgb="FF000000"/>
        </left>
        <right style="thin">
          <color rgb="FF000000"/>
        </right>
      </border>
    </dxf>
    <dxf>
      <alignment horizontal="center"/>
    </dxf>
    <dxf>
      <alignment horizontal="center"/>
    </dxf>
    <dxf>
      <alignment horizontal="center" vertical="bottom" textRotation="0" wrapText="1" indent="0" justifyLastLine="0" shrinkToFit="0" readingOrder="0"/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</dxf>
    <dxf>
      <font>
        <name val="Aptos Serif"/>
      </font>
      <numFmt numFmtId="164" formatCode="yyyy\-mm\-dd"/>
    </dxf>
    <dxf>
      <font>
        <name val="Aptos Serif"/>
      </font>
    </dxf>
    <dxf>
      <font>
        <name val="Aptos Serif"/>
      </font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rlito"/>
      </font>
      <fill>
        <patternFill patternType="solid">
          <fgColor indexed="64"/>
          <bgColor rgb="FF155E75"/>
        </patternFill>
      </fill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1409" totalsRowShown="0" headerRowDxfId="51" dataDxfId="50">
  <autoFilter ref="A1:T1409" xr:uid="{00000000-0009-0000-0100-000001000000}"/>
  <tableColumns count="20">
    <tableColumn id="1" xr3:uid="{00000000-0010-0000-0000-000001000000}" name="user_id" dataDxfId="49"/>
    <tableColumn id="2" xr3:uid="{00000000-0010-0000-0000-000002000000}" name="signup_date" dataDxfId="48"/>
    <tableColumn id="3" xr3:uid="{00000000-0010-0000-0000-000003000000}" name="experiment_group" dataDxfId="47"/>
    <tableColumn id="4" xr3:uid="{00000000-0010-0000-0000-000004000000}" name="region" dataDxfId="46"/>
    <tableColumn id="5" xr3:uid="{00000000-0010-0000-0000-000005000000}" name="device_type" dataDxfId="45"/>
    <tableColumn id="6" xr3:uid="{00000000-0010-0000-0000-000006000000}" name="device_type_clean" dataDxfId="44">
      <calculatedColumnFormula>IF(E2="","Unknown",E2)</calculatedColumnFormula>
    </tableColumn>
    <tableColumn id="7" xr3:uid="{00000000-0010-0000-0000-000007000000}" name="traffic_source" dataDxfId="43"/>
    <tableColumn id="8" xr3:uid="{00000000-0010-0000-0000-000008000000}" name="traffic_source_clean" dataDxfId="42">
      <calculatedColumnFormula>IF(G2="","Unknown",G2)</calculatedColumnFormula>
    </tableColumn>
    <tableColumn id="9" xr3:uid="{00000000-0010-0000-0000-000009000000}" name="plan_type" dataDxfId="41"/>
    <tableColumn id="10" xr3:uid="{00000000-0010-0000-0000-00000A000000}" name="visited_landing_page" dataDxfId="40"/>
    <tableColumn id="11" xr3:uid="{00000000-0010-0000-0000-00000B000000}" name="started_trial" dataDxfId="39"/>
    <tableColumn id="12" xr3:uid="{00000000-0010-0000-0000-00000C000000}" name="completed_onboarding" dataDxfId="38"/>
    <tableColumn id="13" xr3:uid="{00000000-0010-0000-0000-00000D000000}" name="converted_to_paid" dataDxfId="37"/>
    <tableColumn id="14" xr3:uid="{00000000-0010-0000-0000-00000E000000}" name="revenue_30d" dataDxfId="36"/>
    <tableColumn id="15" xr3:uid="{00000000-0010-0000-0000-00000F000000}" name="support_tickets_30d" dataDxfId="35"/>
    <tableColumn id="16" xr3:uid="{00000000-0010-0000-0000-000010000000}" name="support_ticket_user" dataDxfId="34">
      <calculatedColumnFormula>IF(O2&gt;0,1,0)</calculatedColumnFormula>
    </tableColumn>
    <tableColumn id="17" xr3:uid="{00000000-0010-0000-0000-000011000000}" name="refund_requested" dataDxfId="33"/>
    <tableColumn id="18" xr3:uid="{00000000-0010-0000-0000-000012000000}" name="days_to_convert" dataDxfId="32"/>
    <tableColumn id="19" xr3:uid="{00000000-0010-0000-0000-000013000000}" name="engagement_score" dataDxfId="31"/>
    <tableColumn id="20" xr3:uid="{00000000-0010-0000-0000-000014000000}" name="engagement_score_clean" dataDxfId="3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EF9E95-C634-4E6B-92E8-288E9C9518AF}" name="Table5" displayName="Table5" ref="A1:L4" totalsRowShown="0" headerRowDxfId="29" dataDxfId="28">
  <autoFilter ref="A1:L4" xr:uid="{8DEF9E95-C634-4E6B-92E8-288E9C9518AF}"/>
  <tableColumns count="12">
    <tableColumn id="1" xr3:uid="{CDC5175E-8463-4061-9DF8-04D604096F30}" name="Group" dataDxfId="27"/>
    <tableColumn id="2" xr3:uid="{7891BB3D-7D0B-493D-BA14-82D734DC44D8}" name="User count" dataDxfId="26"/>
    <tableColumn id="3" xr3:uid="{5E4D8737-2ABC-48EB-AF4D-29EF7FF391B4}" name="Landing page visit rate" dataDxfId="25"/>
    <tableColumn id="4" xr3:uid="{853B08D1-5C27-46D9-954A-22E512631240}" name="Trial start rate" dataDxfId="24"/>
    <tableColumn id="5" xr3:uid="{5B7630F2-7B55-48F4-A81C-7D7E21430456}" name="Onboarding completion rate" dataDxfId="23"/>
    <tableColumn id="6" xr3:uid="{2ABF08FF-3AFF-4AA2-A775-8139348FB0FA}" name="Paid conversion rate" dataDxfId="22"/>
    <tableColumn id="7" xr3:uid="{265E052B-E8C7-4DE8-88B1-978269D1BB26}" name="Average revenue per user" dataDxfId="21"/>
    <tableColumn id="8" xr3:uid="{F0D36D87-D41D-4F28-AA34-F3FBB0983086}" name="Average revenue per converted user" dataDxfId="20"/>
    <tableColumn id="9" xr3:uid="{D03F146D-28B6-4127-97B8-1F5F35203D49}" name="Refund rate" dataDxfId="19"/>
    <tableColumn id="10" xr3:uid="{73C16A7D-615E-45ED-8706-A83068E45971}" name="Support ticket rate" dataDxfId="18"/>
    <tableColumn id="11" xr3:uid="{2726B233-FAB4-4809-89A2-8BE7C7E0FC3E}" name="Average engagement score" dataDxfId="17"/>
    <tableColumn id="12" xr3:uid="{46ED8467-0185-4B27-885D-2F729B7B157D}" name="Average days to convert" dataDxfId="1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:B12" totalsRowShown="0" headerRowDxfId="15" dataDxfId="14" headerRowBorderDxfId="12" tableBorderDxfId="13">
  <autoFilter ref="A1:B12" xr:uid="{00000000-0009-0000-0100-000002000000}"/>
  <tableColumns count="2">
    <tableColumn id="1" xr3:uid="{00000000-0010-0000-0100-000001000000}" name="Input/Output" dataDxfId="11"/>
    <tableColumn id="2" xr3:uid="{00000000-0010-0000-0100-000002000000}" name="Value" dataDxfId="1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:F7" totalsRowShown="0" headerRowDxfId="9" dataDxfId="8" headerRowBorderDxfId="6" tableBorderDxfId="7">
  <autoFilter ref="A1:F7" xr:uid="{00000000-0009-0000-0100-000003000000}"/>
  <tableColumns count="6">
    <tableColumn id="1" xr3:uid="{00000000-0010-0000-0200-000001000000}" name="Metric" dataDxfId="5"/>
    <tableColumn id="2" xr3:uid="{00000000-0010-0000-0200-000002000000}" name="Control" dataDxfId="4"/>
    <tableColumn id="3" xr3:uid="{00000000-0010-0000-0200-000003000000}" name="Treatment" dataDxfId="3"/>
    <tableColumn id="4" xr3:uid="{00000000-0010-0000-0200-000004000000}" name="Absolute delta" dataDxfId="2"/>
    <tableColumn id="5" xr3:uid="{00000000-0010-0000-0200-000005000000}" name="Relative change" dataDxfId="1"/>
    <tableColumn id="6" xr3:uid="{00000000-0010-0000-0200-000006000000}" name="Risk assessme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09"/>
  <sheetViews>
    <sheetView zoomScaleNormal="100" zoomScaleSheetLayoutView="100" workbookViewId="0">
      <selection activeCell="F5" sqref="F5"/>
    </sheetView>
  </sheetViews>
  <sheetFormatPr defaultRowHeight="14.25" customHeight="1"/>
  <cols>
    <col min="1" max="2" width="16" customWidth="1"/>
    <col min="3" max="3" width="18" customWidth="1"/>
    <col min="4" max="5" width="16" customWidth="1"/>
    <col min="6" max="6" width="18" customWidth="1"/>
    <col min="7" max="7" width="16" customWidth="1"/>
    <col min="8" max="8" width="18" customWidth="1"/>
    <col min="9" max="9" width="16" customWidth="1"/>
    <col min="10" max="10" width="18" customWidth="1"/>
    <col min="11" max="11" width="16" customWidth="1"/>
    <col min="12" max="13" width="18" customWidth="1"/>
    <col min="14" max="14" width="16" customWidth="1"/>
    <col min="15" max="15" width="18" customWidth="1"/>
    <col min="16" max="16" width="14.125" customWidth="1"/>
    <col min="17" max="17" width="18" customWidth="1"/>
    <col min="18" max="18" width="17.25" style="6" customWidth="1"/>
    <col min="19" max="19" width="18" customWidth="1"/>
    <col min="20" max="20" width="26.875" customWidth="1"/>
    <col min="21" max="21" width="16.875" customWidth="1"/>
    <col min="22" max="22" width="11.5" customWidth="1"/>
  </cols>
  <sheetData>
    <row r="1" spans="1:20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5" t="s">
        <v>19</v>
      </c>
    </row>
    <row r="2" spans="1:20" ht="15" customHeight="1">
      <c r="A2" s="6" t="s">
        <v>20</v>
      </c>
      <c r="B2" s="7">
        <v>45732</v>
      </c>
      <c r="C2" s="6" t="s">
        <v>21</v>
      </c>
      <c r="D2" s="6" t="s">
        <v>22</v>
      </c>
      <c r="E2" s="6" t="s">
        <v>23</v>
      </c>
      <c r="F2" s="6" t="str">
        <f>IF(E2="","Unknown",E2)</f>
        <v>Desktop</v>
      </c>
      <c r="G2" s="6" t="s">
        <v>24</v>
      </c>
      <c r="H2" s="6" t="str">
        <f>IF(G2="","Unknown",G2)</f>
        <v>Email</v>
      </c>
      <c r="I2" s="6" t="s">
        <v>25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f>IF(O2&gt;0,1,0)</f>
        <v>0</v>
      </c>
      <c r="Q2" s="6">
        <v>0</v>
      </c>
      <c r="S2" s="6">
        <v>45.7</v>
      </c>
      <c r="T2" s="6">
        <f>IF(S2="",MEDIAN($S$2:$S$1409),S2)</f>
        <v>45.7</v>
      </c>
    </row>
    <row r="3" spans="1:20" ht="15" customHeight="1">
      <c r="A3" s="6" t="s">
        <v>26</v>
      </c>
      <c r="B3" s="7">
        <v>45724</v>
      </c>
      <c r="C3" s="6" t="s">
        <v>21</v>
      </c>
      <c r="D3" s="6" t="s">
        <v>27</v>
      </c>
      <c r="E3" s="6" t="s">
        <v>28</v>
      </c>
      <c r="F3" s="6" t="str">
        <f>IF(E3="","Unknown",E3)</f>
        <v>Mobile</v>
      </c>
      <c r="G3" s="6" t="s">
        <v>29</v>
      </c>
      <c r="H3" s="6" t="str">
        <f>IF(G3="","Unknown",G3)</f>
        <v>Organic</v>
      </c>
      <c r="I3" s="6" t="s">
        <v>30</v>
      </c>
      <c r="J3" s="6">
        <v>1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f>IF(O3&gt;0,1,0)</f>
        <v>0</v>
      </c>
      <c r="Q3" s="6">
        <v>0</v>
      </c>
      <c r="S3" s="6">
        <v>48.6</v>
      </c>
      <c r="T3" s="6">
        <f>IF(S3="",MEDIAN($S$2:$S$1409),S3)</f>
        <v>48.6</v>
      </c>
    </row>
    <row r="4" spans="1:20" ht="15" customHeight="1">
      <c r="A4" s="6" t="s">
        <v>31</v>
      </c>
      <c r="B4" s="7">
        <v>45771</v>
      </c>
      <c r="C4" s="6" t="s">
        <v>21</v>
      </c>
      <c r="D4" s="6" t="s">
        <v>32</v>
      </c>
      <c r="E4" s="6" t="s">
        <v>28</v>
      </c>
      <c r="F4" s="6" t="str">
        <f>IF(E4="","Unknown",E4)</f>
        <v>Mobile</v>
      </c>
      <c r="G4" s="6" t="s">
        <v>33</v>
      </c>
      <c r="H4" s="6" t="str">
        <f>IF(G4="","Unknown",G4)</f>
        <v>Paid Search</v>
      </c>
      <c r="I4" s="6" t="s">
        <v>34</v>
      </c>
      <c r="J4" s="6">
        <v>1</v>
      </c>
      <c r="K4" s="6">
        <v>0</v>
      </c>
      <c r="L4" s="6">
        <v>0</v>
      </c>
      <c r="M4" s="6">
        <v>0</v>
      </c>
      <c r="N4" s="6">
        <v>0</v>
      </c>
      <c r="O4" s="6">
        <v>1</v>
      </c>
      <c r="P4" s="6">
        <f>IF(O4&gt;0,1,0)</f>
        <v>1</v>
      </c>
      <c r="Q4" s="6">
        <v>0</v>
      </c>
      <c r="S4" s="6">
        <v>35.4</v>
      </c>
      <c r="T4" s="6">
        <f>IF(S4="",MEDIAN($S$2:$S$1409),S4)</f>
        <v>35.4</v>
      </c>
    </row>
    <row r="5" spans="1:20" ht="15" customHeight="1">
      <c r="A5" s="6" t="s">
        <v>35</v>
      </c>
      <c r="B5" s="7">
        <v>45781</v>
      </c>
      <c r="C5" s="6" t="s">
        <v>21</v>
      </c>
      <c r="D5" s="6" t="s">
        <v>36</v>
      </c>
      <c r="E5" s="6" t="s">
        <v>28</v>
      </c>
      <c r="F5" s="6" t="str">
        <f>IF(E5="","Unknown",E5)</f>
        <v>Mobile</v>
      </c>
      <c r="G5" s="6" t="s">
        <v>24</v>
      </c>
      <c r="H5" s="6" t="str">
        <f>IF(G5="","Unknown",G5)</f>
        <v>Email</v>
      </c>
      <c r="I5" s="6" t="s">
        <v>25</v>
      </c>
      <c r="J5" s="6">
        <v>1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f>IF(O5&gt;0,1,0)</f>
        <v>0</v>
      </c>
      <c r="Q5" s="6">
        <v>0</v>
      </c>
      <c r="S5" s="6">
        <v>64.599999999999994</v>
      </c>
      <c r="T5" s="6">
        <f>IF(S5="",MEDIAN($S$2:$S$1409),S5)</f>
        <v>64.599999999999994</v>
      </c>
    </row>
    <row r="6" spans="1:20" ht="15" customHeight="1">
      <c r="A6" s="6" t="s">
        <v>37</v>
      </c>
      <c r="B6" s="7">
        <v>45700</v>
      </c>
      <c r="C6" s="6" t="s">
        <v>21</v>
      </c>
      <c r="D6" s="6" t="s">
        <v>22</v>
      </c>
      <c r="E6" s="6" t="s">
        <v>38</v>
      </c>
      <c r="F6" s="6" t="str">
        <f>IF(E6="","Unknown",E6)</f>
        <v>Tablet</v>
      </c>
      <c r="G6" s="6" t="s">
        <v>29</v>
      </c>
      <c r="H6" s="6" t="str">
        <f>IF(G6="","Unknown",G6)</f>
        <v>Organic</v>
      </c>
      <c r="I6" s="6" t="s">
        <v>30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f>IF(O6&gt;0,1,0)</f>
        <v>0</v>
      </c>
      <c r="Q6" s="6">
        <v>0</v>
      </c>
      <c r="S6" s="6">
        <v>66.599999999999994</v>
      </c>
      <c r="T6" s="6">
        <f>IF(S6="",MEDIAN($S$2:$S$1409),S6)</f>
        <v>66.599999999999994</v>
      </c>
    </row>
    <row r="7" spans="1:20" ht="15" customHeight="1">
      <c r="A7" s="6" t="s">
        <v>39</v>
      </c>
      <c r="B7" s="7">
        <v>45685</v>
      </c>
      <c r="C7" s="6" t="s">
        <v>21</v>
      </c>
      <c r="D7" s="6" t="s">
        <v>32</v>
      </c>
      <c r="E7" s="6" t="s">
        <v>28</v>
      </c>
      <c r="F7" s="6" t="str">
        <f>IF(E7="","Unknown",E7)</f>
        <v>Mobile</v>
      </c>
      <c r="G7" s="6" t="s">
        <v>29</v>
      </c>
      <c r="H7" s="6" t="str">
        <f>IF(G7="","Unknown",G7)</f>
        <v>Organic</v>
      </c>
      <c r="I7" s="6" t="s">
        <v>34</v>
      </c>
      <c r="J7" s="6">
        <v>1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f>IF(O7&gt;0,1,0)</f>
        <v>0</v>
      </c>
      <c r="Q7" s="6">
        <v>0</v>
      </c>
      <c r="S7" s="6">
        <v>40.799999999999997</v>
      </c>
      <c r="T7" s="6">
        <f>IF(S7="",MEDIAN($S$2:$S$1409),S7)</f>
        <v>40.799999999999997</v>
      </c>
    </row>
    <row r="8" spans="1:20" ht="15" customHeight="1">
      <c r="A8" s="6" t="s">
        <v>40</v>
      </c>
      <c r="B8" s="7">
        <v>45755</v>
      </c>
      <c r="C8" s="6" t="s">
        <v>21</v>
      </c>
      <c r="D8" s="6" t="s">
        <v>32</v>
      </c>
      <c r="E8" s="6" t="s">
        <v>28</v>
      </c>
      <c r="F8" s="6" t="str">
        <f>IF(E8="","Unknown",E8)</f>
        <v>Mobile</v>
      </c>
      <c r="G8" s="6" t="s">
        <v>33</v>
      </c>
      <c r="H8" s="6" t="str">
        <f>IF(G8="","Unknown",G8)</f>
        <v>Paid Search</v>
      </c>
      <c r="I8" s="6" t="s">
        <v>25</v>
      </c>
      <c r="J8" s="6">
        <v>1</v>
      </c>
      <c r="K8" s="6">
        <v>1</v>
      </c>
      <c r="L8" s="6">
        <v>0</v>
      </c>
      <c r="M8" s="6">
        <v>0</v>
      </c>
      <c r="N8" s="6">
        <v>0</v>
      </c>
      <c r="O8" s="6">
        <v>0</v>
      </c>
      <c r="P8" s="6">
        <f>IF(O8&gt;0,1,0)</f>
        <v>0</v>
      </c>
      <c r="Q8" s="6">
        <v>0</v>
      </c>
      <c r="S8" s="6">
        <v>57.1</v>
      </c>
      <c r="T8" s="6">
        <f>IF(S8="",MEDIAN($S$2:$S$1409),S8)</f>
        <v>57.1</v>
      </c>
    </row>
    <row r="9" spans="1:20" ht="15" customHeight="1">
      <c r="A9" s="6" t="s">
        <v>41</v>
      </c>
      <c r="B9" s="7">
        <v>45794</v>
      </c>
      <c r="C9" s="6" t="s">
        <v>21</v>
      </c>
      <c r="D9" s="6" t="s">
        <v>36</v>
      </c>
      <c r="E9" s="6" t="s">
        <v>28</v>
      </c>
      <c r="F9" s="6" t="str">
        <f>IF(E9="","Unknown",E9)</f>
        <v>Mobile</v>
      </c>
      <c r="G9" s="6" t="s">
        <v>33</v>
      </c>
      <c r="H9" s="6" t="str">
        <f>IF(G9="","Unknown",G9)</f>
        <v>Paid Search</v>
      </c>
      <c r="I9" s="6" t="s">
        <v>30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f>IF(O9&gt;0,1,0)</f>
        <v>0</v>
      </c>
      <c r="Q9" s="6">
        <v>0</v>
      </c>
      <c r="S9" s="6">
        <v>36.4</v>
      </c>
      <c r="T9" s="6">
        <f>IF(S9="",MEDIAN($S$2:$S$1409),S9)</f>
        <v>36.4</v>
      </c>
    </row>
    <row r="10" spans="1:20" ht="15" customHeight="1">
      <c r="A10" s="6" t="s">
        <v>42</v>
      </c>
      <c r="B10" s="7">
        <v>45711</v>
      </c>
      <c r="C10" s="6" t="s">
        <v>21</v>
      </c>
      <c r="D10" s="6" t="s">
        <v>36</v>
      </c>
      <c r="E10" s="6" t="s">
        <v>38</v>
      </c>
      <c r="F10" s="6" t="str">
        <f>IF(E10="","Unknown",E10)</f>
        <v>Tablet</v>
      </c>
      <c r="G10" s="6" t="s">
        <v>43</v>
      </c>
      <c r="H10" s="6" t="str">
        <f>IF(G10="","Unknown",G10)</f>
        <v>Referral</v>
      </c>
      <c r="I10" s="6" t="s">
        <v>25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f>IF(O10&gt;0,1,0)</f>
        <v>0</v>
      </c>
      <c r="Q10" s="6">
        <v>0</v>
      </c>
      <c r="S10" s="6">
        <v>55.4</v>
      </c>
      <c r="T10" s="6">
        <f>IF(S10="",MEDIAN($S$2:$S$1409),S10)</f>
        <v>55.4</v>
      </c>
    </row>
    <row r="11" spans="1:20" ht="15" customHeight="1">
      <c r="A11" s="6" t="s">
        <v>44</v>
      </c>
      <c r="B11" s="7">
        <v>45806</v>
      </c>
      <c r="C11" s="6" t="s">
        <v>21</v>
      </c>
      <c r="D11" s="6" t="s">
        <v>27</v>
      </c>
      <c r="E11" s="6" t="s">
        <v>23</v>
      </c>
      <c r="F11" s="6" t="str">
        <f>IF(E11="","Unknown",E11)</f>
        <v>Desktop</v>
      </c>
      <c r="G11" s="6" t="s">
        <v>45</v>
      </c>
      <c r="H11" s="6" t="str">
        <f>IF(G11="","Unknown",G11)</f>
        <v>Social</v>
      </c>
      <c r="I11" s="6" t="s">
        <v>30</v>
      </c>
      <c r="J11" s="6">
        <v>1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f>IF(O11&gt;0,1,0)</f>
        <v>0</v>
      </c>
      <c r="Q11" s="6">
        <v>0</v>
      </c>
      <c r="S11" s="6">
        <v>57.3</v>
      </c>
      <c r="T11" s="6">
        <f>IF(S11="",MEDIAN($S$2:$S$1409),S11)</f>
        <v>57.3</v>
      </c>
    </row>
    <row r="12" spans="1:20" ht="15" customHeight="1">
      <c r="A12" s="6" t="s">
        <v>46</v>
      </c>
      <c r="B12" s="7">
        <v>45777</v>
      </c>
      <c r="C12" s="6" t="s">
        <v>21</v>
      </c>
      <c r="D12" s="6" t="s">
        <v>32</v>
      </c>
      <c r="E12" s="6" t="s">
        <v>28</v>
      </c>
      <c r="F12" s="6" t="str">
        <f>IF(E12="","Unknown",E12)</f>
        <v>Mobile</v>
      </c>
      <c r="G12" s="6" t="s">
        <v>33</v>
      </c>
      <c r="H12" s="6" t="str">
        <f>IF(G12="","Unknown",G12)</f>
        <v>Paid Search</v>
      </c>
      <c r="I12" s="6" t="s">
        <v>25</v>
      </c>
      <c r="J12" s="6">
        <v>1</v>
      </c>
      <c r="K12" s="6">
        <v>1</v>
      </c>
      <c r="L12" s="6">
        <v>1</v>
      </c>
      <c r="M12" s="6">
        <v>0</v>
      </c>
      <c r="N12" s="6">
        <v>0</v>
      </c>
      <c r="O12" s="6">
        <v>0</v>
      </c>
      <c r="P12" s="6">
        <f>IF(O12&gt;0,1,0)</f>
        <v>0</v>
      </c>
      <c r="Q12" s="6">
        <v>0</v>
      </c>
      <c r="S12" s="6">
        <v>63.6</v>
      </c>
      <c r="T12" s="6">
        <f>IF(S12="",MEDIAN($S$2:$S$1409),S12)</f>
        <v>63.6</v>
      </c>
    </row>
    <row r="13" spans="1:20" ht="15" customHeight="1">
      <c r="A13" s="6" t="s">
        <v>47</v>
      </c>
      <c r="B13" s="7">
        <v>45732</v>
      </c>
      <c r="C13" s="6" t="s">
        <v>21</v>
      </c>
      <c r="D13" s="6" t="s">
        <v>32</v>
      </c>
      <c r="E13" s="6" t="s">
        <v>28</v>
      </c>
      <c r="F13" s="6" t="str">
        <f>IF(E13="","Unknown",E13)</f>
        <v>Mobile</v>
      </c>
      <c r="G13" s="6" t="s">
        <v>45</v>
      </c>
      <c r="H13" s="6" t="str">
        <f>IF(G13="","Unknown",G13)</f>
        <v>Social</v>
      </c>
      <c r="I13" s="6" t="s">
        <v>34</v>
      </c>
      <c r="J13" s="6">
        <v>1</v>
      </c>
      <c r="K13" s="6">
        <v>1</v>
      </c>
      <c r="L13" s="6">
        <v>1</v>
      </c>
      <c r="M13" s="6">
        <v>0</v>
      </c>
      <c r="N13" s="6">
        <v>0</v>
      </c>
      <c r="O13" s="6">
        <v>1</v>
      </c>
      <c r="P13" s="6">
        <f>IF(O13&gt;0,1,0)</f>
        <v>1</v>
      </c>
      <c r="Q13" s="6">
        <v>0</v>
      </c>
      <c r="S13" s="6">
        <v>80.400000000000006</v>
      </c>
      <c r="T13" s="6">
        <f>IF(S13="",MEDIAN($S$2:$S$1409),S13)</f>
        <v>80.400000000000006</v>
      </c>
    </row>
    <row r="14" spans="1:20" ht="15" customHeight="1">
      <c r="A14" s="6" t="s">
        <v>48</v>
      </c>
      <c r="B14" s="7">
        <v>45695</v>
      </c>
      <c r="C14" s="6" t="s">
        <v>21</v>
      </c>
      <c r="D14" s="6" t="s">
        <v>36</v>
      </c>
      <c r="E14" s="6" t="s">
        <v>23</v>
      </c>
      <c r="F14" s="6" t="str">
        <f>IF(E14="","Unknown",E14)</f>
        <v>Desktop</v>
      </c>
      <c r="G14" s="6" t="s">
        <v>24</v>
      </c>
      <c r="H14" s="6" t="str">
        <f>IF(G14="","Unknown",G14)</f>
        <v>Email</v>
      </c>
      <c r="I14" s="6" t="s">
        <v>25</v>
      </c>
      <c r="J14" s="6">
        <v>1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f>IF(O14&gt;0,1,0)</f>
        <v>0</v>
      </c>
      <c r="Q14" s="6">
        <v>0</v>
      </c>
      <c r="S14" s="6">
        <v>62.4</v>
      </c>
      <c r="T14" s="6">
        <f>IF(S14="",MEDIAN($S$2:$S$1409),S14)</f>
        <v>62.4</v>
      </c>
    </row>
    <row r="15" spans="1:20" ht="15" customHeight="1">
      <c r="A15" s="6" t="s">
        <v>49</v>
      </c>
      <c r="B15" s="7">
        <v>45718</v>
      </c>
      <c r="C15" s="6" t="s">
        <v>21</v>
      </c>
      <c r="D15" s="6" t="s">
        <v>27</v>
      </c>
      <c r="E15" s="6" t="s">
        <v>28</v>
      </c>
      <c r="F15" s="6" t="str">
        <f>IF(E15="","Unknown",E15)</f>
        <v>Mobile</v>
      </c>
      <c r="G15" s="6" t="s">
        <v>45</v>
      </c>
      <c r="H15" s="6" t="str">
        <f>IF(G15="","Unknown",G15)</f>
        <v>Social</v>
      </c>
      <c r="I15" s="6" t="s">
        <v>25</v>
      </c>
      <c r="J15" s="6">
        <v>1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f>IF(O15&gt;0,1,0)</f>
        <v>0</v>
      </c>
      <c r="Q15" s="6">
        <v>0</v>
      </c>
      <c r="S15" s="6">
        <v>82.4</v>
      </c>
      <c r="T15" s="6">
        <f>IF(S15="",MEDIAN($S$2:$S$1409),S15)</f>
        <v>82.4</v>
      </c>
    </row>
    <row r="16" spans="1:20" ht="15" customHeight="1">
      <c r="A16" s="6" t="s">
        <v>50</v>
      </c>
      <c r="B16" s="7">
        <v>45807</v>
      </c>
      <c r="C16" s="6" t="s">
        <v>21</v>
      </c>
      <c r="D16" s="6" t="s">
        <v>36</v>
      </c>
      <c r="E16" s="6" t="s">
        <v>28</v>
      </c>
      <c r="F16" s="6" t="str">
        <f>IF(E16="","Unknown",E16)</f>
        <v>Mobile</v>
      </c>
      <c r="G16" s="6" t="s">
        <v>29</v>
      </c>
      <c r="H16" s="6" t="str">
        <f>IF(G16="","Unknown",G16)</f>
        <v>Organic</v>
      </c>
      <c r="I16" s="6" t="s">
        <v>25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f>IF(O16&gt;0,1,0)</f>
        <v>0</v>
      </c>
      <c r="Q16" s="6">
        <v>0</v>
      </c>
      <c r="S16" s="6">
        <v>61.2</v>
      </c>
      <c r="T16" s="6">
        <f>IF(S16="",MEDIAN($S$2:$S$1409),S16)</f>
        <v>61.2</v>
      </c>
    </row>
    <row r="17" spans="1:20" ht="15" customHeight="1">
      <c r="A17" s="6" t="s">
        <v>51</v>
      </c>
      <c r="B17" s="7">
        <v>45741</v>
      </c>
      <c r="C17" s="6" t="s">
        <v>21</v>
      </c>
      <c r="D17" s="6" t="s">
        <v>36</v>
      </c>
      <c r="E17" s="6" t="s">
        <v>28</v>
      </c>
      <c r="F17" s="6" t="str">
        <f>IF(E17="","Unknown",E17)</f>
        <v>Mobile</v>
      </c>
      <c r="G17" s="6" t="s">
        <v>45</v>
      </c>
      <c r="H17" s="6" t="str">
        <f>IF(G17="","Unknown",G17)</f>
        <v>Social</v>
      </c>
      <c r="I17" s="6" t="s">
        <v>25</v>
      </c>
      <c r="J17" s="6">
        <v>1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f>IF(O17&gt;0,1,0)</f>
        <v>0</v>
      </c>
      <c r="Q17" s="6">
        <v>0</v>
      </c>
      <c r="S17" s="6">
        <v>68.900000000000006</v>
      </c>
      <c r="T17" s="6">
        <f>IF(S17="",MEDIAN($S$2:$S$1409),S17)</f>
        <v>68.900000000000006</v>
      </c>
    </row>
    <row r="18" spans="1:20" ht="15" customHeight="1">
      <c r="A18" s="6" t="s">
        <v>52</v>
      </c>
      <c r="B18" s="7">
        <v>45743</v>
      </c>
      <c r="C18" s="6" t="s">
        <v>21</v>
      </c>
      <c r="D18" s="6" t="s">
        <v>32</v>
      </c>
      <c r="E18" s="6" t="s">
        <v>23</v>
      </c>
      <c r="F18" s="6" t="str">
        <f>IF(E18="","Unknown",E18)</f>
        <v>Desktop</v>
      </c>
      <c r="G18" s="6" t="s">
        <v>33</v>
      </c>
      <c r="H18" s="6" t="str">
        <f>IF(G18="","Unknown",G18)</f>
        <v>Paid Search</v>
      </c>
      <c r="I18" s="6" t="s">
        <v>30</v>
      </c>
      <c r="J18" s="6">
        <v>1</v>
      </c>
      <c r="K18" s="6">
        <v>1</v>
      </c>
      <c r="L18" s="6">
        <v>1</v>
      </c>
      <c r="M18" s="6">
        <v>0</v>
      </c>
      <c r="N18" s="6">
        <v>0</v>
      </c>
      <c r="O18" s="6">
        <v>0</v>
      </c>
      <c r="P18" s="6">
        <f>IF(O18&gt;0,1,0)</f>
        <v>0</v>
      </c>
      <c r="Q18" s="6">
        <v>0</v>
      </c>
      <c r="S18" s="6">
        <v>71.900000000000006</v>
      </c>
      <c r="T18" s="6">
        <f>IF(S18="",MEDIAN($S$2:$S$1409),S18)</f>
        <v>71.900000000000006</v>
      </c>
    </row>
    <row r="19" spans="1:20" ht="15" customHeight="1">
      <c r="A19" s="6" t="s">
        <v>53</v>
      </c>
      <c r="B19" s="7">
        <v>45805</v>
      </c>
      <c r="C19" s="6" t="s">
        <v>21</v>
      </c>
      <c r="D19" s="6" t="s">
        <v>36</v>
      </c>
      <c r="E19" s="6" t="s">
        <v>23</v>
      </c>
      <c r="F19" s="6" t="str">
        <f>IF(E19="","Unknown",E19)</f>
        <v>Desktop</v>
      </c>
      <c r="G19" s="6" t="s">
        <v>33</v>
      </c>
      <c r="H19" s="6" t="str">
        <f>IF(G19="","Unknown",G19)</f>
        <v>Paid Search</v>
      </c>
      <c r="I19" s="6" t="s">
        <v>30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f>IF(O19&gt;0,1,0)</f>
        <v>0</v>
      </c>
      <c r="Q19" s="6">
        <v>0</v>
      </c>
      <c r="S19" s="6">
        <v>50.5</v>
      </c>
      <c r="T19" s="6">
        <f>IF(S19="",MEDIAN($S$2:$S$1409),S19)</f>
        <v>50.5</v>
      </c>
    </row>
    <row r="20" spans="1:20" ht="15" customHeight="1">
      <c r="A20" s="6" t="s">
        <v>54</v>
      </c>
      <c r="B20" s="7">
        <v>45703</v>
      </c>
      <c r="C20" s="6" t="s">
        <v>21</v>
      </c>
      <c r="D20" s="6" t="s">
        <v>22</v>
      </c>
      <c r="E20" s="6" t="s">
        <v>23</v>
      </c>
      <c r="F20" s="6" t="str">
        <f>IF(E20="","Unknown",E20)</f>
        <v>Desktop</v>
      </c>
      <c r="G20" s="6" t="s">
        <v>33</v>
      </c>
      <c r="H20" s="6" t="str">
        <f>IF(G20="","Unknown",G20)</f>
        <v>Paid Search</v>
      </c>
      <c r="I20" s="6" t="s">
        <v>25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f>IF(O20&gt;0,1,0)</f>
        <v>0</v>
      </c>
      <c r="Q20" s="6">
        <v>0</v>
      </c>
      <c r="S20" s="6">
        <v>49.3</v>
      </c>
      <c r="T20" s="6">
        <f>IF(S20="",MEDIAN($S$2:$S$1409),S20)</f>
        <v>49.3</v>
      </c>
    </row>
    <row r="21" spans="1:20" ht="15" customHeight="1">
      <c r="A21" s="6" t="s">
        <v>55</v>
      </c>
      <c r="B21" s="7">
        <v>45782</v>
      </c>
      <c r="C21" s="6" t="s">
        <v>21</v>
      </c>
      <c r="D21" s="6" t="s">
        <v>27</v>
      </c>
      <c r="E21" s="6" t="s">
        <v>23</v>
      </c>
      <c r="F21" s="6" t="str">
        <f>IF(E21="","Unknown",E21)</f>
        <v>Desktop</v>
      </c>
      <c r="G21" s="6" t="s">
        <v>29</v>
      </c>
      <c r="H21" s="6" t="str">
        <f>IF(G21="","Unknown",G21)</f>
        <v>Organic</v>
      </c>
      <c r="I21" s="6" t="s">
        <v>25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2</v>
      </c>
      <c r="P21" s="6">
        <f>IF(O21&gt;0,1,0)</f>
        <v>1</v>
      </c>
      <c r="Q21" s="6">
        <v>0</v>
      </c>
      <c r="S21" s="6">
        <v>60.9</v>
      </c>
      <c r="T21" s="6">
        <f>IF(S21="",MEDIAN($S$2:$S$1409),S21)</f>
        <v>60.9</v>
      </c>
    </row>
    <row r="22" spans="1:20" ht="15" customHeight="1">
      <c r="A22" s="6" t="s">
        <v>56</v>
      </c>
      <c r="B22" s="7">
        <v>45760</v>
      </c>
      <c r="C22" s="6" t="s">
        <v>21</v>
      </c>
      <c r="D22" s="6" t="s">
        <v>32</v>
      </c>
      <c r="E22" s="6" t="s">
        <v>28</v>
      </c>
      <c r="F22" s="6" t="str">
        <f>IF(E22="","Unknown",E22)</f>
        <v>Mobile</v>
      </c>
      <c r="G22" s="6" t="s">
        <v>45</v>
      </c>
      <c r="H22" s="6" t="str">
        <f>IF(G22="","Unknown",G22)</f>
        <v>Social</v>
      </c>
      <c r="I22" s="6" t="s">
        <v>30</v>
      </c>
      <c r="J22" s="6">
        <v>1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f>IF(O22&gt;0,1,0)</f>
        <v>0</v>
      </c>
      <c r="Q22" s="6">
        <v>0</v>
      </c>
      <c r="S22" s="6">
        <v>62.7</v>
      </c>
      <c r="T22" s="6">
        <f>IF(S22="",MEDIAN($S$2:$S$1409),S22)</f>
        <v>62.7</v>
      </c>
    </row>
    <row r="23" spans="1:20" ht="15" customHeight="1">
      <c r="A23" s="6" t="s">
        <v>57</v>
      </c>
      <c r="B23" s="7">
        <v>45784</v>
      </c>
      <c r="C23" s="6" t="s">
        <v>21</v>
      </c>
      <c r="D23" s="6" t="s">
        <v>22</v>
      </c>
      <c r="E23" s="6" t="s">
        <v>23</v>
      </c>
      <c r="F23" s="6" t="str">
        <f>IF(E23="","Unknown",E23)</f>
        <v>Desktop</v>
      </c>
      <c r="G23" s="6" t="s">
        <v>33</v>
      </c>
      <c r="H23" s="6" t="str">
        <f>IF(G23="","Unknown",G23)</f>
        <v>Paid Search</v>
      </c>
      <c r="I23" s="6" t="s">
        <v>30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f>IF(O23&gt;0,1,0)</f>
        <v>0</v>
      </c>
      <c r="Q23" s="6">
        <v>0</v>
      </c>
      <c r="S23" s="6">
        <v>52.7</v>
      </c>
      <c r="T23" s="6">
        <f>IF(S23="",MEDIAN($S$2:$S$1409),S23)</f>
        <v>52.7</v>
      </c>
    </row>
    <row r="24" spans="1:20" ht="15" customHeight="1">
      <c r="A24" s="6" t="s">
        <v>58</v>
      </c>
      <c r="B24" s="7">
        <v>45802</v>
      </c>
      <c r="C24" s="6" t="s">
        <v>21</v>
      </c>
      <c r="D24" s="6" t="s">
        <v>22</v>
      </c>
      <c r="E24" s="6" t="s">
        <v>23</v>
      </c>
      <c r="F24" s="6" t="str">
        <f>IF(E24="","Unknown",E24)</f>
        <v>Desktop</v>
      </c>
      <c r="G24" s="6" t="s">
        <v>29</v>
      </c>
      <c r="H24" s="6" t="str">
        <f>IF(G24="","Unknown",G24)</f>
        <v>Organic</v>
      </c>
      <c r="I24" s="6" t="s">
        <v>30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f>IF(O24&gt;0,1,0)</f>
        <v>0</v>
      </c>
      <c r="Q24" s="6">
        <v>0</v>
      </c>
      <c r="S24" s="6">
        <v>54</v>
      </c>
      <c r="T24" s="6">
        <f>IF(S24="",MEDIAN($S$2:$S$1409),S24)</f>
        <v>54</v>
      </c>
    </row>
    <row r="25" spans="1:20" ht="15" customHeight="1">
      <c r="A25" s="6" t="s">
        <v>59</v>
      </c>
      <c r="B25" s="7">
        <v>45748</v>
      </c>
      <c r="C25" s="6" t="s">
        <v>21</v>
      </c>
      <c r="D25" s="6" t="s">
        <v>32</v>
      </c>
      <c r="E25" s="6" t="s">
        <v>28</v>
      </c>
      <c r="F25" s="6" t="str">
        <f>IF(E25="","Unknown",E25)</f>
        <v>Mobile</v>
      </c>
      <c r="G25" s="6" t="s">
        <v>33</v>
      </c>
      <c r="H25" s="6" t="str">
        <f>IF(G25="","Unknown",G25)</f>
        <v>Paid Search</v>
      </c>
      <c r="I25" s="6" t="s">
        <v>34</v>
      </c>
      <c r="J25" s="6">
        <v>1</v>
      </c>
      <c r="K25" s="6">
        <v>1</v>
      </c>
      <c r="L25" s="6">
        <v>0</v>
      </c>
      <c r="M25" s="6">
        <v>0</v>
      </c>
      <c r="N25" s="6">
        <v>0</v>
      </c>
      <c r="O25" s="6">
        <v>0</v>
      </c>
      <c r="P25" s="6">
        <f>IF(O25&gt;0,1,0)</f>
        <v>0</v>
      </c>
      <c r="Q25" s="6">
        <v>0</v>
      </c>
      <c r="S25" s="6">
        <v>51.6</v>
      </c>
      <c r="T25" s="6">
        <f>IF(S25="",MEDIAN($S$2:$S$1409),S25)</f>
        <v>51.6</v>
      </c>
    </row>
    <row r="26" spans="1:20" ht="15" customHeight="1">
      <c r="A26" s="6" t="s">
        <v>60</v>
      </c>
      <c r="B26" s="7">
        <v>45710</v>
      </c>
      <c r="C26" s="6" t="s">
        <v>21</v>
      </c>
      <c r="D26" s="6" t="s">
        <v>22</v>
      </c>
      <c r="E26" s="6" t="s">
        <v>28</v>
      </c>
      <c r="F26" s="6" t="str">
        <f>IF(E26="","Unknown",E26)</f>
        <v>Mobile</v>
      </c>
      <c r="G26" s="6" t="s">
        <v>33</v>
      </c>
      <c r="H26" s="6" t="str">
        <f>IF(G26="","Unknown",G26)</f>
        <v>Paid Search</v>
      </c>
      <c r="I26" s="6" t="s">
        <v>34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2</v>
      </c>
      <c r="P26" s="6">
        <f>IF(O26&gt;0,1,0)</f>
        <v>1</v>
      </c>
      <c r="Q26" s="6">
        <v>0</v>
      </c>
      <c r="S26" s="6">
        <v>66.900000000000006</v>
      </c>
      <c r="T26" s="6">
        <f>IF(S26="",MEDIAN($S$2:$S$1409),S26)</f>
        <v>66.900000000000006</v>
      </c>
    </row>
    <row r="27" spans="1:20" ht="15" customHeight="1">
      <c r="A27" s="6" t="s">
        <v>61</v>
      </c>
      <c r="B27" s="7">
        <v>45740</v>
      </c>
      <c r="C27" s="6" t="s">
        <v>21</v>
      </c>
      <c r="D27" s="6" t="s">
        <v>32</v>
      </c>
      <c r="E27" s="6" t="s">
        <v>28</v>
      </c>
      <c r="F27" s="6" t="str">
        <f>IF(E27="","Unknown",E27)</f>
        <v>Mobile</v>
      </c>
      <c r="G27" s="6" t="s">
        <v>29</v>
      </c>
      <c r="H27" s="6" t="str">
        <f>IF(G27="","Unknown",G27)</f>
        <v>Organic</v>
      </c>
      <c r="I27" s="6" t="s">
        <v>25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f>IF(O27&gt;0,1,0)</f>
        <v>0</v>
      </c>
      <c r="Q27" s="6">
        <v>0</v>
      </c>
      <c r="S27" s="6">
        <v>67.400000000000006</v>
      </c>
      <c r="T27" s="6">
        <f>IF(S27="",MEDIAN($S$2:$S$1409),S27)</f>
        <v>67.400000000000006</v>
      </c>
    </row>
    <row r="28" spans="1:20" ht="15" customHeight="1">
      <c r="A28" s="6" t="s">
        <v>62</v>
      </c>
      <c r="B28" s="7">
        <v>45701</v>
      </c>
      <c r="C28" s="6" t="s">
        <v>21</v>
      </c>
      <c r="D28" s="6" t="s">
        <v>22</v>
      </c>
      <c r="E28" s="6" t="s">
        <v>28</v>
      </c>
      <c r="F28" s="6" t="str">
        <f>IF(E28="","Unknown",E28)</f>
        <v>Mobile</v>
      </c>
      <c r="G28" s="6" t="s">
        <v>29</v>
      </c>
      <c r="H28" s="6" t="str">
        <f>IF(G28="","Unknown",G28)</f>
        <v>Organic</v>
      </c>
      <c r="I28" s="6" t="s">
        <v>30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f>IF(O28&gt;0,1,0)</f>
        <v>0</v>
      </c>
      <c r="Q28" s="6">
        <v>0</v>
      </c>
      <c r="S28" s="6">
        <v>58.8</v>
      </c>
      <c r="T28" s="6">
        <f>IF(S28="",MEDIAN($S$2:$S$1409),S28)</f>
        <v>58.8</v>
      </c>
    </row>
    <row r="29" spans="1:20" ht="15" customHeight="1">
      <c r="A29" s="6" t="s">
        <v>63</v>
      </c>
      <c r="B29" s="7">
        <v>45807</v>
      </c>
      <c r="C29" s="6" t="s">
        <v>21</v>
      </c>
      <c r="D29" s="6" t="s">
        <v>36</v>
      </c>
      <c r="E29" s="6" t="s">
        <v>28</v>
      </c>
      <c r="F29" s="6" t="str">
        <f>IF(E29="","Unknown",E29)</f>
        <v>Mobile</v>
      </c>
      <c r="G29" s="6" t="s">
        <v>29</v>
      </c>
      <c r="H29" s="6" t="str">
        <f>IF(G29="","Unknown",G29)</f>
        <v>Organic</v>
      </c>
      <c r="I29" s="6" t="s">
        <v>30</v>
      </c>
      <c r="J29" s="6">
        <v>1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f>IF(O29&gt;0,1,0)</f>
        <v>0</v>
      </c>
      <c r="Q29" s="6">
        <v>0</v>
      </c>
      <c r="S29" s="6">
        <v>73.8</v>
      </c>
      <c r="T29" s="6">
        <f>IF(S29="",MEDIAN($S$2:$S$1409),S29)</f>
        <v>73.8</v>
      </c>
    </row>
    <row r="30" spans="1:20" ht="15" customHeight="1">
      <c r="A30" s="6" t="s">
        <v>64</v>
      </c>
      <c r="B30" s="7">
        <v>45677</v>
      </c>
      <c r="C30" s="6" t="s">
        <v>21</v>
      </c>
      <c r="D30" s="6" t="s">
        <v>32</v>
      </c>
      <c r="E30" s="6" t="s">
        <v>38</v>
      </c>
      <c r="F30" s="6" t="str">
        <f>IF(E30="","Unknown",E30)</f>
        <v>Tablet</v>
      </c>
      <c r="G30" s="6" t="s">
        <v>29</v>
      </c>
      <c r="H30" s="6" t="str">
        <f>IF(G30="","Unknown",G30)</f>
        <v>Organic</v>
      </c>
      <c r="I30" s="6" t="s">
        <v>25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f>IF(O30&gt;0,1,0)</f>
        <v>0</v>
      </c>
      <c r="Q30" s="6">
        <v>0</v>
      </c>
      <c r="S30" s="6">
        <v>60.1</v>
      </c>
      <c r="T30" s="6">
        <f>IF(S30="",MEDIAN($S$2:$S$1409),S30)</f>
        <v>60.1</v>
      </c>
    </row>
    <row r="31" spans="1:20" ht="15" customHeight="1">
      <c r="A31" s="6" t="s">
        <v>65</v>
      </c>
      <c r="B31" s="7">
        <v>45796</v>
      </c>
      <c r="C31" s="6" t="s">
        <v>21</v>
      </c>
      <c r="D31" s="6" t="s">
        <v>32</v>
      </c>
      <c r="E31" s="6" t="s">
        <v>28</v>
      </c>
      <c r="F31" s="6" t="str">
        <f>IF(E31="","Unknown",E31)</f>
        <v>Mobile</v>
      </c>
      <c r="G31" s="6" t="s">
        <v>45</v>
      </c>
      <c r="H31" s="6" t="str">
        <f>IF(G31="","Unknown",G31)</f>
        <v>Social</v>
      </c>
      <c r="I31" s="6" t="s">
        <v>25</v>
      </c>
      <c r="J31" s="6">
        <v>1</v>
      </c>
      <c r="K31" s="6">
        <v>1</v>
      </c>
      <c r="L31" s="6">
        <v>1</v>
      </c>
      <c r="M31" s="6">
        <v>0</v>
      </c>
      <c r="N31" s="6">
        <v>0</v>
      </c>
      <c r="O31" s="6">
        <v>0</v>
      </c>
      <c r="P31" s="6">
        <f>IF(O31&gt;0,1,0)</f>
        <v>0</v>
      </c>
      <c r="Q31" s="6">
        <v>0</v>
      </c>
      <c r="S31" s="6">
        <v>41</v>
      </c>
      <c r="T31" s="6">
        <f>IF(S31="",MEDIAN($S$2:$S$1409),S31)</f>
        <v>41</v>
      </c>
    </row>
    <row r="32" spans="1:20" ht="15" customHeight="1">
      <c r="A32" s="6" t="s">
        <v>66</v>
      </c>
      <c r="B32" s="7">
        <v>45706</v>
      </c>
      <c r="C32" s="6" t="s">
        <v>21</v>
      </c>
      <c r="D32" s="6" t="s">
        <v>36</v>
      </c>
      <c r="E32" s="6" t="s">
        <v>28</v>
      </c>
      <c r="F32" s="6" t="str">
        <f>IF(E32="","Unknown",E32)</f>
        <v>Mobile</v>
      </c>
      <c r="G32" s="6" t="s">
        <v>29</v>
      </c>
      <c r="H32" s="6" t="str">
        <f>IF(G32="","Unknown",G32)</f>
        <v>Organic</v>
      </c>
      <c r="I32" s="6" t="s">
        <v>25</v>
      </c>
      <c r="J32" s="6">
        <v>1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f>IF(O32&gt;0,1,0)</f>
        <v>0</v>
      </c>
      <c r="Q32" s="6">
        <v>0</v>
      </c>
      <c r="S32" s="6">
        <v>80.3</v>
      </c>
      <c r="T32" s="6">
        <f>IF(S32="",MEDIAN($S$2:$S$1409),S32)</f>
        <v>80.3</v>
      </c>
    </row>
    <row r="33" spans="1:20" ht="15" customHeight="1">
      <c r="A33" s="6" t="s">
        <v>67</v>
      </c>
      <c r="B33" s="7">
        <v>45701</v>
      </c>
      <c r="C33" s="6" t="s">
        <v>21</v>
      </c>
      <c r="D33" s="6" t="s">
        <v>32</v>
      </c>
      <c r="E33" s="6" t="s">
        <v>28</v>
      </c>
      <c r="F33" s="6" t="str">
        <f>IF(E33="","Unknown",E33)</f>
        <v>Mobile</v>
      </c>
      <c r="G33" s="6" t="s">
        <v>29</v>
      </c>
      <c r="H33" s="6" t="str">
        <f>IF(G33="","Unknown",G33)</f>
        <v>Organic</v>
      </c>
      <c r="I33" s="6" t="s">
        <v>30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f>IF(O33&gt;0,1,0)</f>
        <v>0</v>
      </c>
      <c r="Q33" s="6">
        <v>0</v>
      </c>
      <c r="S33" s="6">
        <v>67.599999999999994</v>
      </c>
      <c r="T33" s="6">
        <f>IF(S33="",MEDIAN($S$2:$S$1409),S33)</f>
        <v>67.599999999999994</v>
      </c>
    </row>
    <row r="34" spans="1:20" ht="15" customHeight="1">
      <c r="A34" s="6" t="s">
        <v>68</v>
      </c>
      <c r="B34" s="7">
        <v>45724</v>
      </c>
      <c r="C34" s="6" t="s">
        <v>21</v>
      </c>
      <c r="D34" s="6" t="s">
        <v>32</v>
      </c>
      <c r="E34" s="6" t="s">
        <v>23</v>
      </c>
      <c r="F34" s="6" t="str">
        <f>IF(E34="","Unknown",E34)</f>
        <v>Desktop</v>
      </c>
      <c r="G34" s="6" t="s">
        <v>43</v>
      </c>
      <c r="H34" s="6" t="str">
        <f>IF(G34="","Unknown",G34)</f>
        <v>Referral</v>
      </c>
      <c r="I34" s="6" t="s">
        <v>34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f>IF(O34&gt;0,1,0)</f>
        <v>0</v>
      </c>
      <c r="Q34" s="6">
        <v>0</v>
      </c>
      <c r="S34" s="6">
        <v>64</v>
      </c>
      <c r="T34" s="6">
        <f>IF(S34="",MEDIAN($S$2:$S$1409),S34)</f>
        <v>64</v>
      </c>
    </row>
    <row r="35" spans="1:20" ht="15" customHeight="1">
      <c r="A35" s="6" t="s">
        <v>69</v>
      </c>
      <c r="B35" s="7">
        <v>45668</v>
      </c>
      <c r="C35" s="6" t="s">
        <v>21</v>
      </c>
      <c r="D35" s="6" t="s">
        <v>22</v>
      </c>
      <c r="E35" s="6" t="s">
        <v>28</v>
      </c>
      <c r="F35" s="6" t="str">
        <f>IF(E35="","Unknown",E35)</f>
        <v>Mobile</v>
      </c>
      <c r="G35" s="6" t="s">
        <v>33</v>
      </c>
      <c r="H35" s="6" t="str">
        <f>IF(G35="","Unknown",G35)</f>
        <v>Paid Search</v>
      </c>
      <c r="I35" s="6" t="s">
        <v>30</v>
      </c>
      <c r="J35" s="6">
        <v>1</v>
      </c>
      <c r="K35" s="6">
        <v>1</v>
      </c>
      <c r="L35" s="6">
        <v>0</v>
      </c>
      <c r="M35" s="6">
        <v>0</v>
      </c>
      <c r="N35" s="6">
        <v>0</v>
      </c>
      <c r="O35" s="6">
        <v>0</v>
      </c>
      <c r="P35" s="6">
        <f>IF(O35&gt;0,1,0)</f>
        <v>0</v>
      </c>
      <c r="Q35" s="6">
        <v>0</v>
      </c>
      <c r="S35" s="6">
        <v>27.2</v>
      </c>
      <c r="T35" s="6">
        <f>IF(S35="",MEDIAN($S$2:$S$1409),S35)</f>
        <v>27.2</v>
      </c>
    </row>
    <row r="36" spans="1:20" ht="15" customHeight="1">
      <c r="A36" s="6" t="s">
        <v>70</v>
      </c>
      <c r="B36" s="7">
        <v>45700</v>
      </c>
      <c r="C36" s="6" t="s">
        <v>21</v>
      </c>
      <c r="D36" s="6" t="s">
        <v>22</v>
      </c>
      <c r="E36" s="6" t="s">
        <v>23</v>
      </c>
      <c r="F36" s="6" t="str">
        <f>IF(E36="","Unknown",E36)</f>
        <v>Desktop</v>
      </c>
      <c r="G36" s="6" t="s">
        <v>29</v>
      </c>
      <c r="H36" s="6" t="str">
        <f>IF(G36="","Unknown",G36)</f>
        <v>Organic</v>
      </c>
      <c r="I36" s="6" t="s">
        <v>30</v>
      </c>
      <c r="J36" s="6">
        <v>1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f>IF(O36&gt;0,1,0)</f>
        <v>0</v>
      </c>
      <c r="Q36" s="6">
        <v>0</v>
      </c>
      <c r="S36" s="6">
        <v>85.4</v>
      </c>
      <c r="T36" s="6">
        <f>IF(S36="",MEDIAN($S$2:$S$1409),S36)</f>
        <v>85.4</v>
      </c>
    </row>
    <row r="37" spans="1:20" ht="15" customHeight="1">
      <c r="A37" s="6" t="s">
        <v>71</v>
      </c>
      <c r="B37" s="7">
        <v>45760</v>
      </c>
      <c r="C37" s="6" t="s">
        <v>21</v>
      </c>
      <c r="D37" s="6" t="s">
        <v>32</v>
      </c>
      <c r="E37" s="6" t="s">
        <v>23</v>
      </c>
      <c r="F37" s="6" t="str">
        <f>IF(E37="","Unknown",E37)</f>
        <v>Desktop</v>
      </c>
      <c r="G37" s="6" t="s">
        <v>29</v>
      </c>
      <c r="H37" s="6" t="str">
        <f>IF(G37="","Unknown",G37)</f>
        <v>Organic</v>
      </c>
      <c r="I37" s="6" t="s">
        <v>25</v>
      </c>
      <c r="J37" s="6">
        <v>1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f>IF(O37&gt;0,1,0)</f>
        <v>0</v>
      </c>
      <c r="Q37" s="6">
        <v>0</v>
      </c>
      <c r="S37" s="6">
        <v>75.900000000000006</v>
      </c>
      <c r="T37" s="6">
        <f>IF(S37="",MEDIAN($S$2:$S$1409),S37)</f>
        <v>75.900000000000006</v>
      </c>
    </row>
    <row r="38" spans="1:20" ht="15" customHeight="1">
      <c r="A38" s="6" t="s">
        <v>72</v>
      </c>
      <c r="B38" s="7">
        <v>45786</v>
      </c>
      <c r="C38" s="6" t="s">
        <v>21</v>
      </c>
      <c r="D38" s="6" t="s">
        <v>32</v>
      </c>
      <c r="E38" s="6" t="s">
        <v>28</v>
      </c>
      <c r="F38" s="6" t="str">
        <f>IF(E38="","Unknown",E38)</f>
        <v>Mobile</v>
      </c>
      <c r="G38" s="6" t="s">
        <v>29</v>
      </c>
      <c r="H38" s="6" t="str">
        <f>IF(G38="","Unknown",G38)</f>
        <v>Organic</v>
      </c>
      <c r="I38" s="6" t="s">
        <v>34</v>
      </c>
      <c r="J38" s="6">
        <v>1</v>
      </c>
      <c r="K38" s="6">
        <v>0</v>
      </c>
      <c r="L38" s="6">
        <v>0</v>
      </c>
      <c r="M38" s="6">
        <v>0</v>
      </c>
      <c r="N38" s="6">
        <v>0</v>
      </c>
      <c r="O38" s="6">
        <v>1</v>
      </c>
      <c r="P38" s="6">
        <f>IF(O38&gt;0,1,0)</f>
        <v>1</v>
      </c>
      <c r="Q38" s="6">
        <v>0</v>
      </c>
      <c r="S38" s="6">
        <v>34.799999999999997</v>
      </c>
      <c r="T38" s="6">
        <f>IF(S38="",MEDIAN($S$2:$S$1409),S38)</f>
        <v>34.799999999999997</v>
      </c>
    </row>
    <row r="39" spans="1:20" ht="15" customHeight="1">
      <c r="A39" s="6" t="s">
        <v>73</v>
      </c>
      <c r="B39" s="7">
        <v>45677</v>
      </c>
      <c r="C39" s="6" t="s">
        <v>21</v>
      </c>
      <c r="D39" s="6" t="s">
        <v>32</v>
      </c>
      <c r="E39" s="6" t="s">
        <v>28</v>
      </c>
      <c r="F39" s="6" t="str">
        <f>IF(E39="","Unknown",E39)</f>
        <v>Mobile</v>
      </c>
      <c r="G39" s="6" t="s">
        <v>29</v>
      </c>
      <c r="H39" s="6" t="str">
        <f>IF(G39="","Unknown",G39)</f>
        <v>Organic</v>
      </c>
      <c r="I39" s="6" t="s">
        <v>30</v>
      </c>
      <c r="J39" s="6">
        <v>1</v>
      </c>
      <c r="K39" s="6">
        <v>1</v>
      </c>
      <c r="L39" s="6">
        <v>1</v>
      </c>
      <c r="M39" s="6">
        <v>0</v>
      </c>
      <c r="N39" s="6">
        <v>0</v>
      </c>
      <c r="O39" s="6">
        <v>3</v>
      </c>
      <c r="P39" s="6">
        <f>IF(O39&gt;0,1,0)</f>
        <v>1</v>
      </c>
      <c r="Q39" s="6">
        <v>0</v>
      </c>
      <c r="S39" s="6">
        <v>48.9</v>
      </c>
      <c r="T39" s="6">
        <f>IF(S39="",MEDIAN($S$2:$S$1409),S39)</f>
        <v>48.9</v>
      </c>
    </row>
    <row r="40" spans="1:20" ht="15" customHeight="1">
      <c r="A40" s="6" t="s">
        <v>74</v>
      </c>
      <c r="B40" s="7">
        <v>45790</v>
      </c>
      <c r="C40" s="6" t="s">
        <v>21</v>
      </c>
      <c r="D40" s="6" t="s">
        <v>32</v>
      </c>
      <c r="E40" s="6" t="s">
        <v>28</v>
      </c>
      <c r="F40" s="6" t="str">
        <f>IF(E40="","Unknown",E40)</f>
        <v>Mobile</v>
      </c>
      <c r="G40" s="6" t="s">
        <v>24</v>
      </c>
      <c r="H40" s="6" t="str">
        <f>IF(G40="","Unknown",G40)</f>
        <v>Email</v>
      </c>
      <c r="I40" s="6" t="s">
        <v>34</v>
      </c>
      <c r="J40" s="6">
        <v>1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f>IF(O40&gt;0,1,0)</f>
        <v>0</v>
      </c>
      <c r="Q40" s="6">
        <v>0</v>
      </c>
      <c r="S40" s="6">
        <v>41.5</v>
      </c>
      <c r="T40" s="6">
        <f>IF(S40="",MEDIAN($S$2:$S$1409),S40)</f>
        <v>41.5</v>
      </c>
    </row>
    <row r="41" spans="1:20" ht="15" customHeight="1">
      <c r="A41" s="6" t="s">
        <v>75</v>
      </c>
      <c r="B41" s="7">
        <v>45754</v>
      </c>
      <c r="C41" s="6" t="s">
        <v>21</v>
      </c>
      <c r="D41" s="6" t="s">
        <v>22</v>
      </c>
      <c r="E41" s="6" t="s">
        <v>23</v>
      </c>
      <c r="F41" s="6" t="str">
        <f>IF(E41="","Unknown",E41)</f>
        <v>Desktop</v>
      </c>
      <c r="G41" s="6" t="s">
        <v>29</v>
      </c>
      <c r="H41" s="6" t="str">
        <f>IF(G41="","Unknown",G41)</f>
        <v>Organic</v>
      </c>
      <c r="I41" s="6" t="s">
        <v>25</v>
      </c>
      <c r="J41" s="6">
        <v>1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f>IF(O41&gt;0,1,0)</f>
        <v>0</v>
      </c>
      <c r="Q41" s="6">
        <v>0</v>
      </c>
      <c r="S41" s="6">
        <v>51.5</v>
      </c>
      <c r="T41" s="6">
        <f>IF(S41="",MEDIAN($S$2:$S$1409),S41)</f>
        <v>51.5</v>
      </c>
    </row>
    <row r="42" spans="1:20" ht="15" customHeight="1">
      <c r="A42" s="6" t="s">
        <v>76</v>
      </c>
      <c r="B42" s="7">
        <v>45747</v>
      </c>
      <c r="C42" s="6" t="s">
        <v>21</v>
      </c>
      <c r="D42" s="6" t="s">
        <v>22</v>
      </c>
      <c r="E42" s="6" t="s">
        <v>23</v>
      </c>
      <c r="F42" s="6" t="str">
        <f>IF(E42="","Unknown",E42)</f>
        <v>Desktop</v>
      </c>
      <c r="G42" s="6" t="s">
        <v>29</v>
      </c>
      <c r="H42" s="6" t="str">
        <f>IF(G42="","Unknown",G42)</f>
        <v>Organic</v>
      </c>
      <c r="I42" s="6" t="s">
        <v>30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f>IF(O42&gt;0,1,0)</f>
        <v>0</v>
      </c>
      <c r="Q42" s="6">
        <v>0</v>
      </c>
      <c r="S42" s="6">
        <v>53.2</v>
      </c>
      <c r="T42" s="6">
        <f>IF(S42="",MEDIAN($S$2:$S$1409),S42)</f>
        <v>53.2</v>
      </c>
    </row>
    <row r="43" spans="1:20" ht="15" customHeight="1">
      <c r="A43" s="6" t="s">
        <v>77</v>
      </c>
      <c r="B43" s="7">
        <v>45682</v>
      </c>
      <c r="C43" s="6" t="s">
        <v>21</v>
      </c>
      <c r="D43" s="6" t="s">
        <v>32</v>
      </c>
      <c r="E43" s="6" t="s">
        <v>28</v>
      </c>
      <c r="F43" s="6" t="str">
        <f>IF(E43="","Unknown",E43)</f>
        <v>Mobile</v>
      </c>
      <c r="G43" s="6" t="s">
        <v>24</v>
      </c>
      <c r="H43" s="6" t="str">
        <f>IF(G43="","Unknown",G43)</f>
        <v>Email</v>
      </c>
      <c r="I43" s="6" t="s">
        <v>34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f>IF(O43&gt;0,1,0)</f>
        <v>0</v>
      </c>
      <c r="Q43" s="6">
        <v>0</v>
      </c>
      <c r="S43" s="6">
        <v>55.6</v>
      </c>
      <c r="T43" s="6">
        <f>IF(S43="",MEDIAN($S$2:$S$1409),S43)</f>
        <v>55.6</v>
      </c>
    </row>
    <row r="44" spans="1:20" ht="15" customHeight="1">
      <c r="A44" s="6" t="s">
        <v>78</v>
      </c>
      <c r="B44" s="7">
        <v>45702</v>
      </c>
      <c r="C44" s="6" t="s">
        <v>21</v>
      </c>
      <c r="D44" s="6" t="s">
        <v>36</v>
      </c>
      <c r="E44" s="6" t="s">
        <v>23</v>
      </c>
      <c r="F44" s="6" t="str">
        <f>IF(E44="","Unknown",E44)</f>
        <v>Desktop</v>
      </c>
      <c r="G44" s="6" t="s">
        <v>29</v>
      </c>
      <c r="H44" s="6" t="str">
        <f>IF(G44="","Unknown",G44)</f>
        <v>Organic</v>
      </c>
      <c r="I44" s="6" t="s">
        <v>30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f>IF(O44&gt;0,1,0)</f>
        <v>0</v>
      </c>
      <c r="Q44" s="6">
        <v>0</v>
      </c>
      <c r="S44" s="6">
        <v>73</v>
      </c>
      <c r="T44" s="6">
        <f>IF(S44="",MEDIAN($S$2:$S$1409),S44)</f>
        <v>73</v>
      </c>
    </row>
    <row r="45" spans="1:20" ht="15" customHeight="1">
      <c r="A45" s="6" t="s">
        <v>79</v>
      </c>
      <c r="B45" s="7">
        <v>45715</v>
      </c>
      <c r="C45" s="6" t="s">
        <v>21</v>
      </c>
      <c r="D45" s="6" t="s">
        <v>32</v>
      </c>
      <c r="E45" s="6" t="s">
        <v>28</v>
      </c>
      <c r="F45" s="6" t="str">
        <f>IF(E45="","Unknown",E45)</f>
        <v>Mobile</v>
      </c>
      <c r="G45" s="6" t="s">
        <v>24</v>
      </c>
      <c r="H45" s="6" t="str">
        <f>IF(G45="","Unknown",G45)</f>
        <v>Email</v>
      </c>
      <c r="I45" s="6" t="s">
        <v>30</v>
      </c>
      <c r="J45" s="6">
        <v>1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f>IF(O45&gt;0,1,0)</f>
        <v>0</v>
      </c>
      <c r="Q45" s="6">
        <v>0</v>
      </c>
      <c r="S45" s="6">
        <v>65</v>
      </c>
      <c r="T45" s="6">
        <f>IF(S45="",MEDIAN($S$2:$S$1409),S45)</f>
        <v>65</v>
      </c>
    </row>
    <row r="46" spans="1:20" ht="15" customHeight="1">
      <c r="A46" s="6" t="s">
        <v>80</v>
      </c>
      <c r="B46" s="7">
        <v>45744</v>
      </c>
      <c r="C46" s="6" t="s">
        <v>21</v>
      </c>
      <c r="D46" s="6" t="s">
        <v>32</v>
      </c>
      <c r="E46" s="6" t="s">
        <v>28</v>
      </c>
      <c r="F46" s="6" t="str">
        <f>IF(E46="","Unknown",E46)</f>
        <v>Mobile</v>
      </c>
      <c r="G46" s="6" t="s">
        <v>45</v>
      </c>
      <c r="H46" s="6" t="str">
        <f>IF(G46="","Unknown",G46)</f>
        <v>Social</v>
      </c>
      <c r="I46" s="6" t="s">
        <v>30</v>
      </c>
      <c r="J46" s="6">
        <v>1</v>
      </c>
      <c r="K46" s="6">
        <v>0</v>
      </c>
      <c r="L46" s="6">
        <v>0</v>
      </c>
      <c r="M46" s="6">
        <v>0</v>
      </c>
      <c r="N46" s="6">
        <v>0</v>
      </c>
      <c r="O46" s="6">
        <v>4</v>
      </c>
      <c r="P46" s="6">
        <f>IF(O46&gt;0,1,0)</f>
        <v>1</v>
      </c>
      <c r="Q46" s="6">
        <v>0</v>
      </c>
      <c r="S46" s="6">
        <v>56.3</v>
      </c>
      <c r="T46" s="6">
        <f>IF(S46="",MEDIAN($S$2:$S$1409),S46)</f>
        <v>56.3</v>
      </c>
    </row>
    <row r="47" spans="1:20" ht="15" customHeight="1">
      <c r="A47" s="6" t="s">
        <v>81</v>
      </c>
      <c r="B47" s="7">
        <v>45802</v>
      </c>
      <c r="C47" s="6" t="s">
        <v>21</v>
      </c>
      <c r="D47" s="6" t="s">
        <v>32</v>
      </c>
      <c r="E47" s="6" t="s">
        <v>28</v>
      </c>
      <c r="F47" s="6" t="str">
        <f>IF(E47="","Unknown",E47)</f>
        <v>Mobile</v>
      </c>
      <c r="G47" s="6" t="s">
        <v>43</v>
      </c>
      <c r="H47" s="6" t="str">
        <f>IF(G47="","Unknown",G47)</f>
        <v>Referral</v>
      </c>
      <c r="I47" s="6" t="s">
        <v>34</v>
      </c>
      <c r="J47" s="6">
        <v>1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f>IF(O47&gt;0,1,0)</f>
        <v>0</v>
      </c>
      <c r="Q47" s="6">
        <v>0</v>
      </c>
      <c r="S47" s="6">
        <v>62.4</v>
      </c>
      <c r="T47" s="6">
        <f>IF(S47="",MEDIAN($S$2:$S$1409),S47)</f>
        <v>62.4</v>
      </c>
    </row>
    <row r="48" spans="1:20" ht="15" customHeight="1">
      <c r="A48" s="6" t="s">
        <v>82</v>
      </c>
      <c r="B48" s="7">
        <v>45782</v>
      </c>
      <c r="C48" s="6" t="s">
        <v>21</v>
      </c>
      <c r="D48" s="6" t="s">
        <v>27</v>
      </c>
      <c r="E48" s="6" t="s">
        <v>23</v>
      </c>
      <c r="F48" s="6" t="str">
        <f>IF(E48="","Unknown",E48)</f>
        <v>Desktop</v>
      </c>
      <c r="G48" s="6" t="s">
        <v>29</v>
      </c>
      <c r="H48" s="6" t="str">
        <f>IF(G48="","Unknown",G48)</f>
        <v>Organic</v>
      </c>
      <c r="I48" s="6" t="s">
        <v>30</v>
      </c>
      <c r="J48" s="6">
        <v>1</v>
      </c>
      <c r="K48" s="6">
        <v>1</v>
      </c>
      <c r="L48" s="6">
        <v>1</v>
      </c>
      <c r="M48" s="6">
        <v>0</v>
      </c>
      <c r="N48" s="6">
        <v>0</v>
      </c>
      <c r="O48" s="6">
        <v>0</v>
      </c>
      <c r="P48" s="6">
        <f>IF(O48&gt;0,1,0)</f>
        <v>0</v>
      </c>
      <c r="Q48" s="6">
        <v>0</v>
      </c>
      <c r="S48" s="6">
        <v>58.1</v>
      </c>
      <c r="T48" s="6">
        <f>IF(S48="",MEDIAN($S$2:$S$1409),S48)</f>
        <v>58.1</v>
      </c>
    </row>
    <row r="49" spans="1:20" ht="15" customHeight="1">
      <c r="A49" s="6" t="s">
        <v>83</v>
      </c>
      <c r="B49" s="7">
        <v>45793</v>
      </c>
      <c r="C49" s="6" t="s">
        <v>21</v>
      </c>
      <c r="D49" s="6" t="s">
        <v>22</v>
      </c>
      <c r="E49" s="6" t="s">
        <v>28</v>
      </c>
      <c r="F49" s="6" t="str">
        <f>IF(E49="","Unknown",E49)</f>
        <v>Mobile</v>
      </c>
      <c r="G49" s="6" t="s">
        <v>29</v>
      </c>
      <c r="H49" s="6" t="str">
        <f>IF(G49="","Unknown",G49)</f>
        <v>Organic</v>
      </c>
      <c r="I49" s="6" t="s">
        <v>30</v>
      </c>
      <c r="J49" s="6">
        <v>1</v>
      </c>
      <c r="K49" s="6">
        <v>1</v>
      </c>
      <c r="L49" s="6">
        <v>1</v>
      </c>
      <c r="M49" s="6">
        <v>0</v>
      </c>
      <c r="N49" s="6">
        <v>0</v>
      </c>
      <c r="O49" s="6">
        <v>0</v>
      </c>
      <c r="P49" s="6">
        <f>IF(O49&gt;0,1,0)</f>
        <v>0</v>
      </c>
      <c r="Q49" s="6">
        <v>0</v>
      </c>
      <c r="S49" s="6">
        <v>80.8</v>
      </c>
      <c r="T49" s="6">
        <f>IF(S49="",MEDIAN($S$2:$S$1409),S49)</f>
        <v>80.8</v>
      </c>
    </row>
    <row r="50" spans="1:20" ht="15" customHeight="1">
      <c r="A50" s="6" t="s">
        <v>84</v>
      </c>
      <c r="B50" s="7">
        <v>45665</v>
      </c>
      <c r="C50" s="6" t="s">
        <v>21</v>
      </c>
      <c r="D50" s="6" t="s">
        <v>22</v>
      </c>
      <c r="E50" s="6" t="s">
        <v>28</v>
      </c>
      <c r="F50" s="6" t="str">
        <f>IF(E50="","Unknown",E50)</f>
        <v>Mobile</v>
      </c>
      <c r="G50" s="6" t="s">
        <v>45</v>
      </c>
      <c r="H50" s="6" t="str">
        <f>IF(G50="","Unknown",G50)</f>
        <v>Social</v>
      </c>
      <c r="I50" s="6" t="s">
        <v>30</v>
      </c>
      <c r="J50" s="6">
        <v>1</v>
      </c>
      <c r="K50" s="6">
        <v>1</v>
      </c>
      <c r="L50" s="6">
        <v>0</v>
      </c>
      <c r="M50" s="6">
        <v>0</v>
      </c>
      <c r="N50" s="6">
        <v>0</v>
      </c>
      <c r="O50" s="6">
        <v>0</v>
      </c>
      <c r="P50" s="6">
        <f>IF(O50&gt;0,1,0)</f>
        <v>0</v>
      </c>
      <c r="Q50" s="6">
        <v>0</v>
      </c>
      <c r="S50" s="6">
        <v>42.9</v>
      </c>
      <c r="T50" s="6">
        <f>IF(S50="",MEDIAN($S$2:$S$1409),S50)</f>
        <v>42.9</v>
      </c>
    </row>
    <row r="51" spans="1:20" ht="15" customHeight="1">
      <c r="A51" s="6" t="s">
        <v>85</v>
      </c>
      <c r="B51" s="7">
        <v>45663</v>
      </c>
      <c r="C51" s="6" t="s">
        <v>21</v>
      </c>
      <c r="D51" s="6" t="s">
        <v>27</v>
      </c>
      <c r="E51" s="6" t="s">
        <v>23</v>
      </c>
      <c r="F51" s="6" t="str">
        <f>IF(E51="","Unknown",E51)</f>
        <v>Desktop</v>
      </c>
      <c r="G51" s="6" t="s">
        <v>33</v>
      </c>
      <c r="H51" s="6" t="str">
        <f>IF(G51="","Unknown",G51)</f>
        <v>Paid Search</v>
      </c>
      <c r="I51" s="6" t="s">
        <v>30</v>
      </c>
      <c r="J51" s="6">
        <v>1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f>IF(O51&gt;0,1,0)</f>
        <v>0</v>
      </c>
      <c r="Q51" s="6">
        <v>0</v>
      </c>
      <c r="S51" s="6">
        <v>52.7</v>
      </c>
      <c r="T51" s="6">
        <f>IF(S51="",MEDIAN($S$2:$S$1409),S51)</f>
        <v>52.7</v>
      </c>
    </row>
    <row r="52" spans="1:20" ht="15" customHeight="1">
      <c r="A52" s="6" t="s">
        <v>86</v>
      </c>
      <c r="B52" s="7">
        <v>45669</v>
      </c>
      <c r="C52" s="6" t="s">
        <v>21</v>
      </c>
      <c r="D52" s="6" t="s">
        <v>22</v>
      </c>
      <c r="E52" s="6" t="s">
        <v>28</v>
      </c>
      <c r="F52" s="6" t="str">
        <f>IF(E52="","Unknown",E52)</f>
        <v>Mobile</v>
      </c>
      <c r="G52" s="6" t="s">
        <v>45</v>
      </c>
      <c r="H52" s="6" t="str">
        <f>IF(G52="","Unknown",G52)</f>
        <v>Social</v>
      </c>
      <c r="I52" s="6" t="s">
        <v>25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f>IF(O52&gt;0,1,0)</f>
        <v>0</v>
      </c>
      <c r="Q52" s="6">
        <v>0</v>
      </c>
      <c r="S52" s="6">
        <v>46.9</v>
      </c>
      <c r="T52" s="6">
        <f>IF(S52="",MEDIAN($S$2:$S$1409),S52)</f>
        <v>46.9</v>
      </c>
    </row>
    <row r="53" spans="1:20" ht="15" customHeight="1">
      <c r="A53" s="6" t="s">
        <v>87</v>
      </c>
      <c r="B53" s="7">
        <v>45702</v>
      </c>
      <c r="C53" s="6" t="s">
        <v>21</v>
      </c>
      <c r="D53" s="6" t="s">
        <v>32</v>
      </c>
      <c r="E53" s="6" t="s">
        <v>23</v>
      </c>
      <c r="F53" s="6" t="str">
        <f>IF(E53="","Unknown",E53)</f>
        <v>Desktop</v>
      </c>
      <c r="G53" s="6" t="s">
        <v>24</v>
      </c>
      <c r="H53" s="6" t="str">
        <f>IF(G53="","Unknown",G53)</f>
        <v>Email</v>
      </c>
      <c r="I53" s="6" t="s">
        <v>34</v>
      </c>
      <c r="J53" s="6">
        <v>1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f>IF(O53&gt;0,1,0)</f>
        <v>0</v>
      </c>
      <c r="Q53" s="6">
        <v>0</v>
      </c>
      <c r="S53" s="6">
        <v>63</v>
      </c>
      <c r="T53" s="6">
        <f>IF(S53="",MEDIAN($S$2:$S$1409),S53)</f>
        <v>63</v>
      </c>
    </row>
    <row r="54" spans="1:20" ht="15" customHeight="1">
      <c r="A54" s="6" t="s">
        <v>88</v>
      </c>
      <c r="B54" s="7">
        <v>45726</v>
      </c>
      <c r="C54" s="6" t="s">
        <v>21</v>
      </c>
      <c r="D54" s="6" t="s">
        <v>36</v>
      </c>
      <c r="E54" s="6" t="s">
        <v>38</v>
      </c>
      <c r="F54" s="6" t="str">
        <f>IF(E54="","Unknown",E54)</f>
        <v>Tablet</v>
      </c>
      <c r="G54" s="6" t="s">
        <v>29</v>
      </c>
      <c r="H54" s="6" t="str">
        <f>IF(G54="","Unknown",G54)</f>
        <v>Organic</v>
      </c>
      <c r="I54" s="6" t="s">
        <v>30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f>IF(O54&gt;0,1,0)</f>
        <v>0</v>
      </c>
      <c r="Q54" s="6">
        <v>0</v>
      </c>
      <c r="S54" s="6">
        <v>53.6</v>
      </c>
      <c r="T54" s="6">
        <f>IF(S54="",MEDIAN($S$2:$S$1409),S54)</f>
        <v>53.6</v>
      </c>
    </row>
    <row r="55" spans="1:20" ht="15" customHeight="1">
      <c r="A55" s="6" t="s">
        <v>89</v>
      </c>
      <c r="B55" s="7">
        <v>45767</v>
      </c>
      <c r="C55" s="6" t="s">
        <v>21</v>
      </c>
      <c r="D55" s="6" t="s">
        <v>27</v>
      </c>
      <c r="E55" s="6" t="s">
        <v>23</v>
      </c>
      <c r="F55" s="6" t="str">
        <f>IF(E55="","Unknown",E55)</f>
        <v>Desktop</v>
      </c>
      <c r="G55" s="6" t="s">
        <v>29</v>
      </c>
      <c r="H55" s="6" t="str">
        <f>IF(G55="","Unknown",G55)</f>
        <v>Organic</v>
      </c>
      <c r="I55" s="6" t="s">
        <v>25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f>IF(O55&gt;0,1,0)</f>
        <v>0</v>
      </c>
      <c r="Q55" s="6">
        <v>0</v>
      </c>
      <c r="S55" s="6">
        <v>49.6</v>
      </c>
      <c r="T55" s="6">
        <f>IF(S55="",MEDIAN($S$2:$S$1409),S55)</f>
        <v>49.6</v>
      </c>
    </row>
    <row r="56" spans="1:20" ht="15" customHeight="1">
      <c r="A56" s="6" t="s">
        <v>90</v>
      </c>
      <c r="B56" s="7">
        <v>45707</v>
      </c>
      <c r="C56" s="6" t="s">
        <v>21</v>
      </c>
      <c r="D56" s="6" t="s">
        <v>36</v>
      </c>
      <c r="E56" s="6" t="s">
        <v>28</v>
      </c>
      <c r="F56" s="6" t="str">
        <f>IF(E56="","Unknown",E56)</f>
        <v>Mobile</v>
      </c>
      <c r="G56" s="6" t="s">
        <v>29</v>
      </c>
      <c r="H56" s="6" t="str">
        <f>IF(G56="","Unknown",G56)</f>
        <v>Organic</v>
      </c>
      <c r="I56" s="6" t="s">
        <v>30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f>IF(O56&gt;0,1,0)</f>
        <v>0</v>
      </c>
      <c r="Q56" s="6">
        <v>0</v>
      </c>
      <c r="S56" s="6">
        <v>54</v>
      </c>
      <c r="T56" s="6">
        <f>IF(S56="",MEDIAN($S$2:$S$1409),S56)</f>
        <v>54</v>
      </c>
    </row>
    <row r="57" spans="1:20" ht="15" customHeight="1">
      <c r="A57" s="6" t="s">
        <v>91</v>
      </c>
      <c r="B57" s="7">
        <v>45794</v>
      </c>
      <c r="C57" s="6" t="s">
        <v>21</v>
      </c>
      <c r="D57" s="6" t="s">
        <v>36</v>
      </c>
      <c r="E57" s="6" t="s">
        <v>28</v>
      </c>
      <c r="F57" s="6" t="str">
        <f>IF(E57="","Unknown",E57)</f>
        <v>Mobile</v>
      </c>
      <c r="G57" s="6" t="s">
        <v>45</v>
      </c>
      <c r="H57" s="6" t="str">
        <f>IF(G57="","Unknown",G57)</f>
        <v>Social</v>
      </c>
      <c r="I57" s="6" t="s">
        <v>25</v>
      </c>
      <c r="J57" s="6">
        <v>1</v>
      </c>
      <c r="K57" s="6">
        <v>0</v>
      </c>
      <c r="L57" s="6">
        <v>0</v>
      </c>
      <c r="M57" s="6">
        <v>0</v>
      </c>
      <c r="N57" s="6">
        <v>0</v>
      </c>
      <c r="O57" s="6">
        <v>2</v>
      </c>
      <c r="P57" s="6">
        <f>IF(O57&gt;0,1,0)</f>
        <v>1</v>
      </c>
      <c r="Q57" s="6">
        <v>0</v>
      </c>
      <c r="S57" s="6">
        <v>50</v>
      </c>
      <c r="T57" s="6">
        <f>IF(S57="",MEDIAN($S$2:$S$1409),S57)</f>
        <v>50</v>
      </c>
    </row>
    <row r="58" spans="1:20" ht="15" customHeight="1">
      <c r="A58" s="6" t="s">
        <v>92</v>
      </c>
      <c r="B58" s="7">
        <v>45748</v>
      </c>
      <c r="C58" s="6" t="s">
        <v>21</v>
      </c>
      <c r="D58" s="6" t="s">
        <v>32</v>
      </c>
      <c r="E58" s="6" t="s">
        <v>28</v>
      </c>
      <c r="F58" s="6" t="str">
        <f>IF(E58="","Unknown",E58)</f>
        <v>Mobile</v>
      </c>
      <c r="G58" s="6" t="s">
        <v>45</v>
      </c>
      <c r="H58" s="6" t="str">
        <f>IF(G58="","Unknown",G58)</f>
        <v>Social</v>
      </c>
      <c r="I58" s="6" t="s">
        <v>25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f>IF(O58&gt;0,1,0)</f>
        <v>0</v>
      </c>
      <c r="Q58" s="6">
        <v>0</v>
      </c>
      <c r="S58" s="6">
        <v>48.1</v>
      </c>
      <c r="T58" s="6">
        <f>IF(S58="",MEDIAN($S$2:$S$1409),S58)</f>
        <v>48.1</v>
      </c>
    </row>
    <row r="59" spans="1:20" ht="15" customHeight="1">
      <c r="A59" s="6" t="s">
        <v>93</v>
      </c>
      <c r="B59" s="7">
        <v>45692</v>
      </c>
      <c r="C59" s="6" t="s">
        <v>21</v>
      </c>
      <c r="D59" s="6" t="s">
        <v>22</v>
      </c>
      <c r="E59" s="6" t="s">
        <v>23</v>
      </c>
      <c r="F59" s="6" t="str">
        <f>IF(E59="","Unknown",E59)</f>
        <v>Desktop</v>
      </c>
      <c r="G59" s="6" t="s">
        <v>29</v>
      </c>
      <c r="H59" s="6" t="str">
        <f>IF(G59="","Unknown",G59)</f>
        <v>Organic</v>
      </c>
      <c r="I59" s="6" t="s">
        <v>30</v>
      </c>
      <c r="J59" s="6">
        <v>1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f>IF(O59&gt;0,1,0)</f>
        <v>0</v>
      </c>
      <c r="Q59" s="6">
        <v>0</v>
      </c>
      <c r="S59" s="6">
        <v>49.6</v>
      </c>
      <c r="T59" s="6">
        <f>IF(S59="",MEDIAN($S$2:$S$1409),S59)</f>
        <v>49.6</v>
      </c>
    </row>
    <row r="60" spans="1:20" ht="15" customHeight="1">
      <c r="A60" s="6" t="s">
        <v>94</v>
      </c>
      <c r="B60" s="7">
        <v>45761</v>
      </c>
      <c r="C60" s="6" t="s">
        <v>21</v>
      </c>
      <c r="D60" s="6" t="s">
        <v>22</v>
      </c>
      <c r="E60" s="6" t="s">
        <v>28</v>
      </c>
      <c r="F60" s="6" t="str">
        <f>IF(E60="","Unknown",E60)</f>
        <v>Mobile</v>
      </c>
      <c r="G60" s="6" t="s">
        <v>45</v>
      </c>
      <c r="H60" s="6" t="str">
        <f>IF(G60="","Unknown",G60)</f>
        <v>Social</v>
      </c>
      <c r="I60" s="6" t="s">
        <v>30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2</v>
      </c>
      <c r="P60" s="6">
        <f>IF(O60&gt;0,1,0)</f>
        <v>1</v>
      </c>
      <c r="Q60" s="6">
        <v>0</v>
      </c>
      <c r="S60" s="6">
        <v>48.9</v>
      </c>
      <c r="T60" s="6">
        <f>IF(S60="",MEDIAN($S$2:$S$1409),S60)</f>
        <v>48.9</v>
      </c>
    </row>
    <row r="61" spans="1:20" ht="15" customHeight="1">
      <c r="A61" s="6" t="s">
        <v>95</v>
      </c>
      <c r="B61" s="7">
        <v>45658</v>
      </c>
      <c r="C61" s="6" t="s">
        <v>21</v>
      </c>
      <c r="D61" s="6" t="s">
        <v>27</v>
      </c>
      <c r="E61" s="6" t="s">
        <v>28</v>
      </c>
      <c r="F61" s="6" t="str">
        <f>IF(E61="","Unknown",E61)</f>
        <v>Mobile</v>
      </c>
      <c r="G61" s="6" t="s">
        <v>45</v>
      </c>
      <c r="H61" s="6" t="str">
        <f>IF(G61="","Unknown",G61)</f>
        <v>Social</v>
      </c>
      <c r="I61" s="6" t="s">
        <v>30</v>
      </c>
      <c r="J61" s="6">
        <v>1</v>
      </c>
      <c r="K61" s="6">
        <v>1</v>
      </c>
      <c r="L61" s="6">
        <v>1</v>
      </c>
      <c r="M61" s="6">
        <v>1</v>
      </c>
      <c r="N61" s="6">
        <v>240.42</v>
      </c>
      <c r="O61" s="6">
        <v>0</v>
      </c>
      <c r="P61" s="6">
        <f>IF(O61&gt;0,1,0)</f>
        <v>0</v>
      </c>
      <c r="Q61" s="6">
        <v>0</v>
      </c>
      <c r="R61" s="6">
        <v>16</v>
      </c>
      <c r="S61" s="6">
        <v>56.5</v>
      </c>
      <c r="T61" s="6">
        <f>IF(S61="",MEDIAN($S$2:$S$1409),S61)</f>
        <v>56.5</v>
      </c>
    </row>
    <row r="62" spans="1:20" ht="15" customHeight="1">
      <c r="A62" s="6" t="s">
        <v>96</v>
      </c>
      <c r="B62" s="7">
        <v>45749</v>
      </c>
      <c r="C62" s="6" t="s">
        <v>21</v>
      </c>
      <c r="D62" s="6" t="s">
        <v>36</v>
      </c>
      <c r="E62" s="6" t="s">
        <v>28</v>
      </c>
      <c r="F62" s="6" t="str">
        <f>IF(E62="","Unknown",E62)</f>
        <v>Mobile</v>
      </c>
      <c r="G62" s="6" t="s">
        <v>43</v>
      </c>
      <c r="H62" s="6" t="str">
        <f>IF(G62="","Unknown",G62)</f>
        <v>Referral</v>
      </c>
      <c r="I62" s="6" t="s">
        <v>30</v>
      </c>
      <c r="J62" s="6">
        <v>1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f>IF(O62&gt;0,1,0)</f>
        <v>0</v>
      </c>
      <c r="Q62" s="6">
        <v>0</v>
      </c>
      <c r="S62" s="6">
        <v>53.7</v>
      </c>
      <c r="T62" s="6">
        <f>IF(S62="",MEDIAN($S$2:$S$1409),S62)</f>
        <v>53.7</v>
      </c>
    </row>
    <row r="63" spans="1:20" ht="15" customHeight="1">
      <c r="A63" s="6" t="s">
        <v>97</v>
      </c>
      <c r="B63" s="7">
        <v>45745</v>
      </c>
      <c r="C63" s="6" t="s">
        <v>21</v>
      </c>
      <c r="D63" s="6" t="s">
        <v>22</v>
      </c>
      <c r="E63" s="6" t="s">
        <v>28</v>
      </c>
      <c r="F63" s="6" t="str">
        <f>IF(E63="","Unknown",E63)</f>
        <v>Mobile</v>
      </c>
      <c r="G63" s="6" t="s">
        <v>45</v>
      </c>
      <c r="H63" s="6" t="str">
        <f>IF(G63="","Unknown",G63)</f>
        <v>Social</v>
      </c>
      <c r="I63" s="6" t="s">
        <v>34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f>IF(O63&gt;0,1,0)</f>
        <v>0</v>
      </c>
      <c r="Q63" s="6">
        <v>0</v>
      </c>
      <c r="S63" s="6">
        <v>62.2</v>
      </c>
      <c r="T63" s="6">
        <f>IF(S63="",MEDIAN($S$2:$S$1409),S63)</f>
        <v>62.2</v>
      </c>
    </row>
    <row r="64" spans="1:20" ht="15" customHeight="1">
      <c r="A64" s="6" t="s">
        <v>98</v>
      </c>
      <c r="B64" s="7">
        <v>45792</v>
      </c>
      <c r="C64" s="6" t="s">
        <v>21</v>
      </c>
      <c r="D64" s="6" t="s">
        <v>36</v>
      </c>
      <c r="E64" s="6" t="s">
        <v>23</v>
      </c>
      <c r="F64" s="6" t="str">
        <f>IF(E64="","Unknown",E64)</f>
        <v>Desktop</v>
      </c>
      <c r="G64" s="6" t="s">
        <v>29</v>
      </c>
      <c r="H64" s="6" t="str">
        <f>IF(G64="","Unknown",G64)</f>
        <v>Organic</v>
      </c>
      <c r="I64" s="6" t="s">
        <v>30</v>
      </c>
      <c r="J64" s="6">
        <v>1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f>IF(O64&gt;0,1,0)</f>
        <v>0</v>
      </c>
      <c r="Q64" s="6">
        <v>0</v>
      </c>
      <c r="S64" s="6">
        <v>50.2</v>
      </c>
      <c r="T64" s="6">
        <f>IF(S64="",MEDIAN($S$2:$S$1409),S64)</f>
        <v>50.2</v>
      </c>
    </row>
    <row r="65" spans="1:20" ht="15" customHeight="1">
      <c r="A65" s="6" t="s">
        <v>99</v>
      </c>
      <c r="B65" s="7">
        <v>45758</v>
      </c>
      <c r="C65" s="6" t="s">
        <v>21</v>
      </c>
      <c r="D65" s="6" t="s">
        <v>22</v>
      </c>
      <c r="E65" s="6" t="s">
        <v>28</v>
      </c>
      <c r="F65" s="6" t="str">
        <f>IF(E65="","Unknown",E65)</f>
        <v>Mobile</v>
      </c>
      <c r="G65" s="6" t="s">
        <v>29</v>
      </c>
      <c r="H65" s="6" t="str">
        <f>IF(G65="","Unknown",G65)</f>
        <v>Organic</v>
      </c>
      <c r="I65" s="6" t="s">
        <v>25</v>
      </c>
      <c r="J65" s="6">
        <v>1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f>IF(O65&gt;0,1,0)</f>
        <v>0</v>
      </c>
      <c r="Q65" s="6">
        <v>0</v>
      </c>
      <c r="S65" s="6">
        <v>74.3</v>
      </c>
      <c r="T65" s="6">
        <f>IF(S65="",MEDIAN($S$2:$S$1409),S65)</f>
        <v>74.3</v>
      </c>
    </row>
    <row r="66" spans="1:20" ht="15" customHeight="1">
      <c r="A66" s="6" t="s">
        <v>100</v>
      </c>
      <c r="B66" s="7">
        <v>45723</v>
      </c>
      <c r="C66" s="6" t="s">
        <v>21</v>
      </c>
      <c r="D66" s="6" t="s">
        <v>36</v>
      </c>
      <c r="E66" s="6" t="s">
        <v>23</v>
      </c>
      <c r="F66" s="6" t="str">
        <f>IF(E66="","Unknown",E66)</f>
        <v>Desktop</v>
      </c>
      <c r="G66" s="6" t="s">
        <v>33</v>
      </c>
      <c r="H66" s="6" t="str">
        <f>IF(G66="","Unknown",G66)</f>
        <v>Paid Search</v>
      </c>
      <c r="I66" s="6" t="s">
        <v>30</v>
      </c>
      <c r="J66" s="6">
        <v>1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f>IF(O66&gt;0,1,0)</f>
        <v>0</v>
      </c>
      <c r="Q66" s="6">
        <v>0</v>
      </c>
      <c r="S66" s="6">
        <v>58</v>
      </c>
      <c r="T66" s="6">
        <f>IF(S66="",MEDIAN($S$2:$S$1409),S66)</f>
        <v>58</v>
      </c>
    </row>
    <row r="67" spans="1:20" ht="15" customHeight="1">
      <c r="A67" s="6" t="s">
        <v>101</v>
      </c>
      <c r="B67" s="7">
        <v>45807</v>
      </c>
      <c r="C67" s="6" t="s">
        <v>21</v>
      </c>
      <c r="D67" s="6" t="s">
        <v>36</v>
      </c>
      <c r="E67" s="6" t="s">
        <v>28</v>
      </c>
      <c r="F67" s="6" t="str">
        <f>IF(E67="","Unknown",E67)</f>
        <v>Mobile</v>
      </c>
      <c r="G67" s="6" t="s">
        <v>29</v>
      </c>
      <c r="H67" s="6" t="str">
        <f>IF(G67="","Unknown",G67)</f>
        <v>Organic</v>
      </c>
      <c r="I67" s="6" t="s">
        <v>30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f>IF(O67&gt;0,1,0)</f>
        <v>0</v>
      </c>
      <c r="Q67" s="6">
        <v>0</v>
      </c>
      <c r="S67" s="6">
        <v>46.7</v>
      </c>
      <c r="T67" s="6">
        <f>IF(S67="",MEDIAN($S$2:$S$1409),S67)</f>
        <v>46.7</v>
      </c>
    </row>
    <row r="68" spans="1:20" ht="15" customHeight="1">
      <c r="A68" s="6" t="s">
        <v>102</v>
      </c>
      <c r="B68" s="7">
        <v>45664</v>
      </c>
      <c r="C68" s="6" t="s">
        <v>21</v>
      </c>
      <c r="D68" s="6" t="s">
        <v>36</v>
      </c>
      <c r="E68" s="6" t="s">
        <v>23</v>
      </c>
      <c r="F68" s="6" t="str">
        <f>IF(E68="","Unknown",E68)</f>
        <v>Desktop</v>
      </c>
      <c r="G68" s="6" t="s">
        <v>29</v>
      </c>
      <c r="H68" s="6" t="str">
        <f>IF(G68="","Unknown",G68)</f>
        <v>Organic</v>
      </c>
      <c r="I68" s="6" t="s">
        <v>34</v>
      </c>
      <c r="J68" s="6">
        <v>1</v>
      </c>
      <c r="K68" s="6">
        <v>0</v>
      </c>
      <c r="L68" s="6">
        <v>0</v>
      </c>
      <c r="M68" s="6">
        <v>0</v>
      </c>
      <c r="N68" s="6">
        <v>0</v>
      </c>
      <c r="O68" s="6">
        <v>1</v>
      </c>
      <c r="P68" s="6">
        <f>IF(O68&gt;0,1,0)</f>
        <v>1</v>
      </c>
      <c r="Q68" s="6">
        <v>0</v>
      </c>
      <c r="S68" s="6">
        <v>49.6</v>
      </c>
      <c r="T68" s="6">
        <f>IF(S68="",MEDIAN($S$2:$S$1409),S68)</f>
        <v>49.6</v>
      </c>
    </row>
    <row r="69" spans="1:20" ht="15" customHeight="1">
      <c r="A69" s="6" t="s">
        <v>103</v>
      </c>
      <c r="B69" s="7">
        <v>45785</v>
      </c>
      <c r="C69" s="6" t="s">
        <v>21</v>
      </c>
      <c r="D69" s="6" t="s">
        <v>27</v>
      </c>
      <c r="E69" s="6" t="s">
        <v>28</v>
      </c>
      <c r="F69" s="6" t="str">
        <f>IF(E69="","Unknown",E69)</f>
        <v>Mobile</v>
      </c>
      <c r="G69" s="6" t="s">
        <v>45</v>
      </c>
      <c r="H69" s="6" t="str">
        <f>IF(G69="","Unknown",G69)</f>
        <v>Social</v>
      </c>
      <c r="I69" s="6" t="s">
        <v>30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f>IF(O69&gt;0,1,0)</f>
        <v>0</v>
      </c>
      <c r="Q69" s="6">
        <v>0</v>
      </c>
      <c r="S69" s="6">
        <v>60.4</v>
      </c>
      <c r="T69" s="6">
        <f>IF(S69="",MEDIAN($S$2:$S$1409),S69)</f>
        <v>60.4</v>
      </c>
    </row>
    <row r="70" spans="1:20" ht="15" customHeight="1">
      <c r="A70" s="6" t="s">
        <v>104</v>
      </c>
      <c r="B70" s="7">
        <v>45735</v>
      </c>
      <c r="C70" s="6" t="s">
        <v>21</v>
      </c>
      <c r="D70" s="6" t="s">
        <v>32</v>
      </c>
      <c r="E70" s="6" t="s">
        <v>23</v>
      </c>
      <c r="F70" s="6" t="str">
        <f>IF(E70="","Unknown",E70)</f>
        <v>Desktop</v>
      </c>
      <c r="G70" s="6" t="s">
        <v>24</v>
      </c>
      <c r="H70" s="6" t="str">
        <f>IF(G70="","Unknown",G70)</f>
        <v>Email</v>
      </c>
      <c r="I70" s="6" t="s">
        <v>30</v>
      </c>
      <c r="J70" s="6">
        <v>1</v>
      </c>
      <c r="K70" s="6">
        <v>1</v>
      </c>
      <c r="L70" s="6">
        <v>1</v>
      </c>
      <c r="M70" s="6">
        <v>0</v>
      </c>
      <c r="N70" s="6">
        <v>0</v>
      </c>
      <c r="O70" s="6">
        <v>0</v>
      </c>
      <c r="P70" s="6">
        <f>IF(O70&gt;0,1,0)</f>
        <v>0</v>
      </c>
      <c r="Q70" s="6">
        <v>0</v>
      </c>
      <c r="S70" s="6">
        <v>55.3</v>
      </c>
      <c r="T70" s="6">
        <f>IF(S70="",MEDIAN($S$2:$S$1409),S70)</f>
        <v>55.3</v>
      </c>
    </row>
    <row r="71" spans="1:20" ht="15" customHeight="1">
      <c r="A71" s="6" t="s">
        <v>105</v>
      </c>
      <c r="B71" s="7">
        <v>45793</v>
      </c>
      <c r="C71" s="6" t="s">
        <v>21</v>
      </c>
      <c r="D71" s="6" t="s">
        <v>22</v>
      </c>
      <c r="E71" s="6" t="s">
        <v>23</v>
      </c>
      <c r="F71" s="6" t="str">
        <f>IF(E71="","Unknown",E71)</f>
        <v>Desktop</v>
      </c>
      <c r="G71" s="6" t="s">
        <v>29</v>
      </c>
      <c r="H71" s="6" t="str">
        <f>IF(G71="","Unknown",G71)</f>
        <v>Organic</v>
      </c>
      <c r="I71" s="6" t="s">
        <v>30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f>IF(O71&gt;0,1,0)</f>
        <v>0</v>
      </c>
      <c r="Q71" s="6">
        <v>0</v>
      </c>
      <c r="S71" s="6">
        <v>56.2</v>
      </c>
      <c r="T71" s="6">
        <f>IF(S71="",MEDIAN($S$2:$S$1409),S71)</f>
        <v>56.2</v>
      </c>
    </row>
    <row r="72" spans="1:20" ht="15" customHeight="1">
      <c r="A72" s="6" t="s">
        <v>106</v>
      </c>
      <c r="B72" s="7">
        <v>45724</v>
      </c>
      <c r="C72" s="6" t="s">
        <v>21</v>
      </c>
      <c r="D72" s="6" t="s">
        <v>27</v>
      </c>
      <c r="E72" s="6" t="s">
        <v>28</v>
      </c>
      <c r="F72" s="6" t="str">
        <f>IF(E72="","Unknown",E72)</f>
        <v>Mobile</v>
      </c>
      <c r="G72" s="6" t="s">
        <v>24</v>
      </c>
      <c r="H72" s="6" t="str">
        <f>IF(G72="","Unknown",G72)</f>
        <v>Email</v>
      </c>
      <c r="I72" s="6" t="s">
        <v>30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f>IF(O72&gt;0,1,0)</f>
        <v>0</v>
      </c>
      <c r="Q72" s="6">
        <v>0</v>
      </c>
      <c r="S72" s="6">
        <v>29.4</v>
      </c>
      <c r="T72" s="6">
        <f>IF(S72="",MEDIAN($S$2:$S$1409),S72)</f>
        <v>29.4</v>
      </c>
    </row>
    <row r="73" spans="1:20" ht="15" customHeight="1">
      <c r="A73" s="6" t="s">
        <v>107</v>
      </c>
      <c r="B73" s="7">
        <v>45724</v>
      </c>
      <c r="C73" s="6" t="s">
        <v>21</v>
      </c>
      <c r="D73" s="6" t="s">
        <v>32</v>
      </c>
      <c r="E73" s="6" t="s">
        <v>28</v>
      </c>
      <c r="F73" s="6" t="str">
        <f>IF(E73="","Unknown",E73)</f>
        <v>Mobile</v>
      </c>
      <c r="G73" s="6" t="s">
        <v>24</v>
      </c>
      <c r="H73" s="6" t="str">
        <f>IF(G73="","Unknown",G73)</f>
        <v>Email</v>
      </c>
      <c r="I73" s="6" t="s">
        <v>30</v>
      </c>
      <c r="J73" s="6">
        <v>1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f>IF(O73&gt;0,1,0)</f>
        <v>0</v>
      </c>
      <c r="Q73" s="6">
        <v>0</v>
      </c>
      <c r="S73" s="6">
        <v>54.2</v>
      </c>
      <c r="T73" s="6">
        <f>IF(S73="",MEDIAN($S$2:$S$1409),S73)</f>
        <v>54.2</v>
      </c>
    </row>
    <row r="74" spans="1:20" ht="15" customHeight="1">
      <c r="A74" s="6" t="s">
        <v>108</v>
      </c>
      <c r="B74" s="7">
        <v>45671</v>
      </c>
      <c r="C74" s="6" t="s">
        <v>21</v>
      </c>
      <c r="D74" s="6" t="s">
        <v>32</v>
      </c>
      <c r="E74" s="6" t="s">
        <v>23</v>
      </c>
      <c r="F74" s="6" t="str">
        <f>IF(E74="","Unknown",E74)</f>
        <v>Desktop</v>
      </c>
      <c r="G74" s="6" t="s">
        <v>33</v>
      </c>
      <c r="H74" s="6" t="str">
        <f>IF(G74="","Unknown",G74)</f>
        <v>Paid Search</v>
      </c>
      <c r="I74" s="6" t="s">
        <v>25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f>IF(O74&gt;0,1,0)</f>
        <v>0</v>
      </c>
      <c r="Q74" s="6">
        <v>0</v>
      </c>
      <c r="S74" s="6">
        <v>46.4</v>
      </c>
      <c r="T74" s="6">
        <f>IF(S74="",MEDIAN($S$2:$S$1409),S74)</f>
        <v>46.4</v>
      </c>
    </row>
    <row r="75" spans="1:20" ht="15" customHeight="1">
      <c r="A75" s="6" t="s">
        <v>109</v>
      </c>
      <c r="B75" s="7">
        <v>45698</v>
      </c>
      <c r="C75" s="6" t="s">
        <v>21</v>
      </c>
      <c r="D75" s="6" t="s">
        <v>36</v>
      </c>
      <c r="E75" s="6" t="s">
        <v>28</v>
      </c>
      <c r="F75" s="6" t="str">
        <f>IF(E75="","Unknown",E75)</f>
        <v>Mobile</v>
      </c>
      <c r="G75" s="6" t="s">
        <v>33</v>
      </c>
      <c r="H75" s="6" t="str">
        <f>IF(G75="","Unknown",G75)</f>
        <v>Paid Search</v>
      </c>
      <c r="I75" s="6" t="s">
        <v>25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f>IF(O75&gt;0,1,0)</f>
        <v>0</v>
      </c>
      <c r="Q75" s="6">
        <v>0</v>
      </c>
      <c r="S75" s="6">
        <v>54.5</v>
      </c>
      <c r="T75" s="6">
        <f>IF(S75="",MEDIAN($S$2:$S$1409),S75)</f>
        <v>54.5</v>
      </c>
    </row>
    <row r="76" spans="1:20" ht="15" customHeight="1">
      <c r="A76" s="6" t="s">
        <v>110</v>
      </c>
      <c r="B76" s="7">
        <v>45733</v>
      </c>
      <c r="C76" s="6" t="s">
        <v>21</v>
      </c>
      <c r="D76" s="6" t="s">
        <v>22</v>
      </c>
      <c r="E76" s="6" t="s">
        <v>28</v>
      </c>
      <c r="F76" s="6" t="str">
        <f>IF(E76="","Unknown",E76)</f>
        <v>Mobile</v>
      </c>
      <c r="G76" s="6" t="s">
        <v>29</v>
      </c>
      <c r="H76" s="6" t="str">
        <f>IF(G76="","Unknown",G76)</f>
        <v>Organic</v>
      </c>
      <c r="I76" s="6" t="s">
        <v>30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f>IF(O76&gt;0,1,0)</f>
        <v>0</v>
      </c>
      <c r="Q76" s="6">
        <v>0</v>
      </c>
      <c r="S76" s="6">
        <v>58.5</v>
      </c>
      <c r="T76" s="6">
        <f>IF(S76="",MEDIAN($S$2:$S$1409),S76)</f>
        <v>58.5</v>
      </c>
    </row>
    <row r="77" spans="1:20" ht="15" customHeight="1">
      <c r="A77" s="6" t="s">
        <v>111</v>
      </c>
      <c r="B77" s="7">
        <v>45666</v>
      </c>
      <c r="C77" s="6" t="s">
        <v>21</v>
      </c>
      <c r="D77" s="6" t="s">
        <v>36</v>
      </c>
      <c r="E77" s="6" t="s">
        <v>28</v>
      </c>
      <c r="F77" s="6" t="str">
        <f>IF(E77="","Unknown",E77)</f>
        <v>Mobile</v>
      </c>
      <c r="G77" s="6" t="s">
        <v>24</v>
      </c>
      <c r="H77" s="6" t="str">
        <f>IF(G77="","Unknown",G77)</f>
        <v>Email</v>
      </c>
      <c r="I77" s="6" t="s">
        <v>30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f>IF(O77&gt;0,1,0)</f>
        <v>0</v>
      </c>
      <c r="Q77" s="6">
        <v>0</v>
      </c>
      <c r="S77" s="6">
        <v>75.900000000000006</v>
      </c>
      <c r="T77" s="6">
        <f>IF(S77="",MEDIAN($S$2:$S$1409),S77)</f>
        <v>75.900000000000006</v>
      </c>
    </row>
    <row r="78" spans="1:20" ht="15" customHeight="1">
      <c r="A78" s="6" t="s">
        <v>112</v>
      </c>
      <c r="B78" s="7">
        <v>45764</v>
      </c>
      <c r="C78" s="6" t="s">
        <v>21</v>
      </c>
      <c r="D78" s="6" t="s">
        <v>22</v>
      </c>
      <c r="E78" s="6" t="s">
        <v>28</v>
      </c>
      <c r="F78" s="6" t="str">
        <f>IF(E78="","Unknown",E78)</f>
        <v>Mobile</v>
      </c>
      <c r="G78" s="6" t="s">
        <v>43</v>
      </c>
      <c r="H78" s="6" t="str">
        <f>IF(G78="","Unknown",G78)</f>
        <v>Referral</v>
      </c>
      <c r="I78" s="6" t="s">
        <v>30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1</v>
      </c>
      <c r="P78" s="6">
        <f>IF(O78&gt;0,1,0)</f>
        <v>1</v>
      </c>
      <c r="Q78" s="6">
        <v>0</v>
      </c>
      <c r="S78" s="6">
        <v>84.9</v>
      </c>
      <c r="T78" s="6">
        <f>IF(S78="",MEDIAN($S$2:$S$1409),S78)</f>
        <v>84.9</v>
      </c>
    </row>
    <row r="79" spans="1:20" ht="15" customHeight="1">
      <c r="A79" s="6" t="s">
        <v>113</v>
      </c>
      <c r="B79" s="7">
        <v>45673</v>
      </c>
      <c r="C79" s="6" t="s">
        <v>21</v>
      </c>
      <c r="D79" s="6" t="s">
        <v>22</v>
      </c>
      <c r="E79" s="6" t="s">
        <v>28</v>
      </c>
      <c r="F79" s="6" t="str">
        <f>IF(E79="","Unknown",E79)</f>
        <v>Mobile</v>
      </c>
      <c r="G79" s="6" t="s">
        <v>29</v>
      </c>
      <c r="H79" s="6" t="str">
        <f>IF(G79="","Unknown",G79)</f>
        <v>Organic</v>
      </c>
      <c r="I79" s="6" t="s">
        <v>30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2</v>
      </c>
      <c r="P79" s="6">
        <f>IF(O79&gt;0,1,0)</f>
        <v>1</v>
      </c>
      <c r="Q79" s="6">
        <v>0</v>
      </c>
      <c r="S79" s="6">
        <v>48.4</v>
      </c>
      <c r="T79" s="6">
        <f>IF(S79="",MEDIAN($S$2:$S$1409),S79)</f>
        <v>48.4</v>
      </c>
    </row>
    <row r="80" spans="1:20" ht="15" customHeight="1">
      <c r="A80" s="6" t="s">
        <v>114</v>
      </c>
      <c r="B80" s="7">
        <v>45708</v>
      </c>
      <c r="C80" s="6" t="s">
        <v>21</v>
      </c>
      <c r="D80" s="6" t="s">
        <v>27</v>
      </c>
      <c r="E80" s="6" t="s">
        <v>23</v>
      </c>
      <c r="F80" s="6" t="str">
        <f>IF(E80="","Unknown",E80)</f>
        <v>Desktop</v>
      </c>
      <c r="G80" s="6" t="s">
        <v>29</v>
      </c>
      <c r="H80" s="6" t="str">
        <f>IF(G80="","Unknown",G80)</f>
        <v>Organic</v>
      </c>
      <c r="I80" s="6" t="s">
        <v>30</v>
      </c>
      <c r="J80" s="6">
        <v>1</v>
      </c>
      <c r="K80" s="6">
        <v>1</v>
      </c>
      <c r="L80" s="6">
        <v>1</v>
      </c>
      <c r="M80" s="6">
        <v>1</v>
      </c>
      <c r="N80" s="6">
        <v>457.51</v>
      </c>
      <c r="O80" s="6">
        <v>0</v>
      </c>
      <c r="P80" s="6">
        <f>IF(O80&gt;0,1,0)</f>
        <v>0</v>
      </c>
      <c r="Q80" s="6">
        <v>0</v>
      </c>
      <c r="R80" s="6">
        <v>7</v>
      </c>
      <c r="S80" s="6">
        <v>38</v>
      </c>
      <c r="T80" s="6">
        <f>IF(S80="",MEDIAN($S$2:$S$1409),S80)</f>
        <v>38</v>
      </c>
    </row>
    <row r="81" spans="1:20" ht="15" customHeight="1">
      <c r="A81" s="6" t="s">
        <v>115</v>
      </c>
      <c r="B81" s="7">
        <v>45798</v>
      </c>
      <c r="C81" s="6" t="s">
        <v>21</v>
      </c>
      <c r="D81" s="6" t="s">
        <v>32</v>
      </c>
      <c r="E81" s="6" t="s">
        <v>28</v>
      </c>
      <c r="F81" s="6" t="str">
        <f>IF(E81="","Unknown",E81)</f>
        <v>Mobile</v>
      </c>
      <c r="G81" s="6" t="s">
        <v>45</v>
      </c>
      <c r="H81" s="6" t="str">
        <f>IF(G81="","Unknown",G81)</f>
        <v>Social</v>
      </c>
      <c r="I81" s="6" t="s">
        <v>30</v>
      </c>
      <c r="J81" s="6">
        <v>1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f>IF(O81&gt;0,1,0)</f>
        <v>0</v>
      </c>
      <c r="Q81" s="6">
        <v>0</v>
      </c>
      <c r="S81" s="6">
        <v>44.2</v>
      </c>
      <c r="T81" s="6">
        <f>IF(S81="",MEDIAN($S$2:$S$1409),S81)</f>
        <v>44.2</v>
      </c>
    </row>
    <row r="82" spans="1:20" ht="15" customHeight="1">
      <c r="A82" s="6" t="s">
        <v>116</v>
      </c>
      <c r="B82" s="7">
        <v>45785</v>
      </c>
      <c r="C82" s="6" t="s">
        <v>21</v>
      </c>
      <c r="D82" s="6" t="s">
        <v>36</v>
      </c>
      <c r="E82" s="6" t="s">
        <v>28</v>
      </c>
      <c r="F82" s="6" t="str">
        <f>IF(E82="","Unknown",E82)</f>
        <v>Mobile</v>
      </c>
      <c r="G82" s="6" t="s">
        <v>29</v>
      </c>
      <c r="H82" s="6" t="str">
        <f>IF(G82="","Unknown",G82)</f>
        <v>Organic</v>
      </c>
      <c r="I82" s="6" t="s">
        <v>30</v>
      </c>
      <c r="J82" s="6">
        <v>1</v>
      </c>
      <c r="K82" s="6">
        <v>1</v>
      </c>
      <c r="L82" s="6">
        <v>1</v>
      </c>
      <c r="M82" s="6">
        <v>0</v>
      </c>
      <c r="N82" s="6">
        <v>0</v>
      </c>
      <c r="O82" s="6">
        <v>0</v>
      </c>
      <c r="P82" s="6">
        <f>IF(O82&gt;0,1,0)</f>
        <v>0</v>
      </c>
      <c r="Q82" s="6">
        <v>0</v>
      </c>
      <c r="S82" s="6">
        <v>81.2</v>
      </c>
      <c r="T82" s="6">
        <f>IF(S82="",MEDIAN($S$2:$S$1409),S82)</f>
        <v>81.2</v>
      </c>
    </row>
    <row r="83" spans="1:20" ht="15" customHeight="1">
      <c r="A83" s="6" t="s">
        <v>117</v>
      </c>
      <c r="B83" s="7">
        <v>45724</v>
      </c>
      <c r="C83" s="6" t="s">
        <v>21</v>
      </c>
      <c r="D83" s="6" t="s">
        <v>36</v>
      </c>
      <c r="E83" s="6" t="s">
        <v>28</v>
      </c>
      <c r="F83" s="6" t="str">
        <f>IF(E83="","Unknown",E83)</f>
        <v>Mobile</v>
      </c>
      <c r="G83" s="6" t="s">
        <v>43</v>
      </c>
      <c r="H83" s="6" t="str">
        <f>IF(G83="","Unknown",G83)</f>
        <v>Referral</v>
      </c>
      <c r="I83" s="6" t="s">
        <v>30</v>
      </c>
      <c r="J83" s="6">
        <v>1</v>
      </c>
      <c r="K83" s="6">
        <v>1</v>
      </c>
      <c r="L83" s="6">
        <v>0</v>
      </c>
      <c r="M83" s="6">
        <v>0</v>
      </c>
      <c r="N83" s="6">
        <v>0</v>
      </c>
      <c r="O83" s="6">
        <v>0</v>
      </c>
      <c r="P83" s="6">
        <f>IF(O83&gt;0,1,0)</f>
        <v>0</v>
      </c>
      <c r="Q83" s="6">
        <v>0</v>
      </c>
      <c r="S83" s="6">
        <v>63.8</v>
      </c>
      <c r="T83" s="6">
        <f>IF(S83="",MEDIAN($S$2:$S$1409),S83)</f>
        <v>63.8</v>
      </c>
    </row>
    <row r="84" spans="1:20" ht="15" customHeight="1">
      <c r="A84" s="6" t="s">
        <v>118</v>
      </c>
      <c r="B84" s="7">
        <v>45748</v>
      </c>
      <c r="C84" s="6" t="s">
        <v>21</v>
      </c>
      <c r="D84" s="6" t="s">
        <v>36</v>
      </c>
      <c r="E84" s="6" t="s">
        <v>23</v>
      </c>
      <c r="F84" s="6" t="str">
        <f>IF(E84="","Unknown",E84)</f>
        <v>Desktop</v>
      </c>
      <c r="G84" s="6" t="s">
        <v>24</v>
      </c>
      <c r="H84" s="6" t="str">
        <f>IF(G84="","Unknown",G84)</f>
        <v>Email</v>
      </c>
      <c r="I84" s="6" t="s">
        <v>30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f>IF(O84&gt;0,1,0)</f>
        <v>0</v>
      </c>
      <c r="Q84" s="6">
        <v>0</v>
      </c>
      <c r="S84" s="6">
        <v>64.7</v>
      </c>
      <c r="T84" s="6">
        <f>IF(S84="",MEDIAN($S$2:$S$1409),S84)</f>
        <v>64.7</v>
      </c>
    </row>
    <row r="85" spans="1:20" ht="15" customHeight="1">
      <c r="A85" s="6" t="s">
        <v>119</v>
      </c>
      <c r="B85" s="7">
        <v>45719</v>
      </c>
      <c r="C85" s="6" t="s">
        <v>21</v>
      </c>
      <c r="D85" s="6" t="s">
        <v>27</v>
      </c>
      <c r="E85" s="6" t="s">
        <v>28</v>
      </c>
      <c r="F85" s="6" t="str">
        <f>IF(E85="","Unknown",E85)</f>
        <v>Mobile</v>
      </c>
      <c r="G85" s="6" t="s">
        <v>45</v>
      </c>
      <c r="H85" s="6" t="str">
        <f>IF(G85="","Unknown",G85)</f>
        <v>Social</v>
      </c>
      <c r="I85" s="6" t="s">
        <v>25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f>IF(O85&gt;0,1,0)</f>
        <v>0</v>
      </c>
      <c r="Q85" s="6">
        <v>0</v>
      </c>
      <c r="S85" s="6">
        <v>60.4</v>
      </c>
      <c r="T85" s="6">
        <f>IF(S85="",MEDIAN($S$2:$S$1409),S85)</f>
        <v>60.4</v>
      </c>
    </row>
    <row r="86" spans="1:20" ht="15" customHeight="1">
      <c r="A86" s="6" t="s">
        <v>120</v>
      </c>
      <c r="B86" s="7">
        <v>45763</v>
      </c>
      <c r="C86" s="6" t="s">
        <v>21</v>
      </c>
      <c r="D86" s="6" t="s">
        <v>36</v>
      </c>
      <c r="E86" s="6" t="s">
        <v>28</v>
      </c>
      <c r="F86" s="6" t="str">
        <f>IF(E86="","Unknown",E86)</f>
        <v>Mobile</v>
      </c>
      <c r="G86" s="6" t="s">
        <v>33</v>
      </c>
      <c r="H86" s="6" t="str">
        <f>IF(G86="","Unknown",G86)</f>
        <v>Paid Search</v>
      </c>
      <c r="I86" s="6" t="s">
        <v>30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f>IF(O86&gt;0,1,0)</f>
        <v>0</v>
      </c>
      <c r="Q86" s="6">
        <v>0</v>
      </c>
      <c r="S86" s="6">
        <v>66.599999999999994</v>
      </c>
      <c r="T86" s="6">
        <f>IF(S86="",MEDIAN($S$2:$S$1409),S86)</f>
        <v>66.599999999999994</v>
      </c>
    </row>
    <row r="87" spans="1:20" ht="15" customHeight="1">
      <c r="A87" s="6" t="s">
        <v>121</v>
      </c>
      <c r="B87" s="7">
        <v>45666</v>
      </c>
      <c r="C87" s="6" t="s">
        <v>21</v>
      </c>
      <c r="D87" s="6" t="s">
        <v>22</v>
      </c>
      <c r="E87" s="6" t="s">
        <v>23</v>
      </c>
      <c r="F87" s="6" t="str">
        <f>IF(E87="","Unknown",E87)</f>
        <v>Desktop</v>
      </c>
      <c r="G87" s="6" t="s">
        <v>29</v>
      </c>
      <c r="H87" s="6" t="str">
        <f>IF(G87="","Unknown",G87)</f>
        <v>Organic</v>
      </c>
      <c r="I87" s="6" t="s">
        <v>30</v>
      </c>
      <c r="J87" s="6">
        <v>1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f>IF(O87&gt;0,1,0)</f>
        <v>0</v>
      </c>
      <c r="Q87" s="6">
        <v>0</v>
      </c>
      <c r="S87" s="6">
        <v>50.9</v>
      </c>
      <c r="T87" s="6">
        <f>IF(S87="",MEDIAN($S$2:$S$1409),S87)</f>
        <v>50.9</v>
      </c>
    </row>
    <row r="88" spans="1:20" ht="15" customHeight="1">
      <c r="A88" s="6" t="s">
        <v>122</v>
      </c>
      <c r="B88" s="7">
        <v>45679</v>
      </c>
      <c r="C88" s="6" t="s">
        <v>21</v>
      </c>
      <c r="D88" s="6" t="s">
        <v>27</v>
      </c>
      <c r="E88" s="6" t="s">
        <v>23</v>
      </c>
      <c r="F88" s="6" t="str">
        <f>IF(E88="","Unknown",E88)</f>
        <v>Desktop</v>
      </c>
      <c r="G88" s="6" t="s">
        <v>45</v>
      </c>
      <c r="H88" s="6" t="str">
        <f>IF(G88="","Unknown",G88)</f>
        <v>Social</v>
      </c>
      <c r="I88" s="6" t="s">
        <v>25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f>IF(O88&gt;0,1,0)</f>
        <v>0</v>
      </c>
      <c r="Q88" s="6">
        <v>0</v>
      </c>
      <c r="S88" s="6">
        <v>51</v>
      </c>
      <c r="T88" s="6">
        <f>IF(S88="",MEDIAN($S$2:$S$1409),S88)</f>
        <v>51</v>
      </c>
    </row>
    <row r="89" spans="1:20" ht="15" customHeight="1">
      <c r="A89" s="6" t="s">
        <v>123</v>
      </c>
      <c r="B89" s="7">
        <v>45777</v>
      </c>
      <c r="C89" s="6" t="s">
        <v>21</v>
      </c>
      <c r="D89" s="6" t="s">
        <v>36</v>
      </c>
      <c r="E89" s="6" t="s">
        <v>28</v>
      </c>
      <c r="F89" s="6" t="str">
        <f>IF(E89="","Unknown",E89)</f>
        <v>Mobile</v>
      </c>
      <c r="G89" s="6" t="s">
        <v>24</v>
      </c>
      <c r="H89" s="6" t="str">
        <f>IF(G89="","Unknown",G89)</f>
        <v>Email</v>
      </c>
      <c r="I89" s="6" t="s">
        <v>34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f>IF(O89&gt;0,1,0)</f>
        <v>0</v>
      </c>
      <c r="Q89" s="6">
        <v>0</v>
      </c>
      <c r="S89" s="6">
        <v>65.8</v>
      </c>
      <c r="T89" s="6">
        <f>IF(S89="",MEDIAN($S$2:$S$1409),S89)</f>
        <v>65.8</v>
      </c>
    </row>
    <row r="90" spans="1:20" ht="15" customHeight="1">
      <c r="A90" s="6" t="s">
        <v>124</v>
      </c>
      <c r="B90" s="7">
        <v>45772</v>
      </c>
      <c r="C90" s="6" t="s">
        <v>21</v>
      </c>
      <c r="D90" s="6" t="s">
        <v>22</v>
      </c>
      <c r="E90" s="6" t="s">
        <v>28</v>
      </c>
      <c r="F90" s="6" t="str">
        <f>IF(E90="","Unknown",E90)</f>
        <v>Mobile</v>
      </c>
      <c r="G90" s="6" t="s">
        <v>43</v>
      </c>
      <c r="H90" s="6" t="str">
        <f>IF(G90="","Unknown",G90)</f>
        <v>Referral</v>
      </c>
      <c r="I90" s="6" t="s">
        <v>25</v>
      </c>
      <c r="J90" s="6">
        <v>1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f>IF(O90&gt;0,1,0)</f>
        <v>0</v>
      </c>
      <c r="Q90" s="6">
        <v>0</v>
      </c>
      <c r="S90" s="6">
        <v>61.8</v>
      </c>
      <c r="T90" s="6">
        <f>IF(S90="",MEDIAN($S$2:$S$1409),S90)</f>
        <v>61.8</v>
      </c>
    </row>
    <row r="91" spans="1:20" ht="15" customHeight="1">
      <c r="A91" s="6" t="s">
        <v>125</v>
      </c>
      <c r="B91" s="7">
        <v>45689</v>
      </c>
      <c r="C91" s="6" t="s">
        <v>21</v>
      </c>
      <c r="D91" s="6" t="s">
        <v>22</v>
      </c>
      <c r="E91" s="6" t="s">
        <v>28</v>
      </c>
      <c r="F91" s="6" t="str">
        <f>IF(E91="","Unknown",E91)</f>
        <v>Mobile</v>
      </c>
      <c r="G91" s="6" t="s">
        <v>29</v>
      </c>
      <c r="H91" s="6" t="str">
        <f>IF(G91="","Unknown",G91)</f>
        <v>Organic</v>
      </c>
      <c r="I91" s="6" t="s">
        <v>25</v>
      </c>
      <c r="J91" s="6">
        <v>1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f>IF(O91&gt;0,1,0)</f>
        <v>0</v>
      </c>
      <c r="Q91" s="6">
        <v>0</v>
      </c>
      <c r="S91" s="6">
        <v>54.5</v>
      </c>
      <c r="T91" s="6">
        <f>IF(S91="",MEDIAN($S$2:$S$1409),S91)</f>
        <v>54.5</v>
      </c>
    </row>
    <row r="92" spans="1:20" ht="15" customHeight="1">
      <c r="A92" s="6" t="s">
        <v>126</v>
      </c>
      <c r="B92" s="7">
        <v>45770</v>
      </c>
      <c r="C92" s="6" t="s">
        <v>21</v>
      </c>
      <c r="D92" s="6" t="s">
        <v>36</v>
      </c>
      <c r="E92" s="6" t="s">
        <v>23</v>
      </c>
      <c r="F92" s="6" t="str">
        <f>IF(E92="","Unknown",E92)</f>
        <v>Desktop</v>
      </c>
      <c r="G92" s="6" t="s">
        <v>29</v>
      </c>
      <c r="H92" s="6" t="str">
        <f>IF(G92="","Unknown",G92)</f>
        <v>Organic</v>
      </c>
      <c r="I92" s="6" t="s">
        <v>30</v>
      </c>
      <c r="J92" s="6">
        <v>1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f>IF(O92&gt;0,1,0)</f>
        <v>0</v>
      </c>
      <c r="Q92" s="6">
        <v>0</v>
      </c>
      <c r="S92" s="6">
        <v>72.2</v>
      </c>
      <c r="T92" s="6">
        <f>IF(S92="",MEDIAN($S$2:$S$1409),S92)</f>
        <v>72.2</v>
      </c>
    </row>
    <row r="93" spans="1:20" ht="15" customHeight="1">
      <c r="A93" s="6" t="s">
        <v>127</v>
      </c>
      <c r="B93" s="7">
        <v>45715</v>
      </c>
      <c r="C93" s="6" t="s">
        <v>21</v>
      </c>
      <c r="D93" s="6" t="s">
        <v>36</v>
      </c>
      <c r="E93" s="6" t="s">
        <v>28</v>
      </c>
      <c r="F93" s="6" t="str">
        <f>IF(E93="","Unknown",E93)</f>
        <v>Mobile</v>
      </c>
      <c r="G93" s="6" t="s">
        <v>45</v>
      </c>
      <c r="H93" s="6" t="str">
        <f>IF(G93="","Unknown",G93)</f>
        <v>Social</v>
      </c>
      <c r="I93" s="6" t="s">
        <v>30</v>
      </c>
      <c r="J93" s="6">
        <v>1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f>IF(O93&gt;0,1,0)</f>
        <v>0</v>
      </c>
      <c r="Q93" s="6">
        <v>0</v>
      </c>
      <c r="S93" s="6">
        <v>42.3</v>
      </c>
      <c r="T93" s="6">
        <f>IF(S93="",MEDIAN($S$2:$S$1409),S93)</f>
        <v>42.3</v>
      </c>
    </row>
    <row r="94" spans="1:20" ht="15" customHeight="1">
      <c r="A94" s="6" t="s">
        <v>128</v>
      </c>
      <c r="B94" s="7">
        <v>45756</v>
      </c>
      <c r="C94" s="6" t="s">
        <v>21</v>
      </c>
      <c r="D94" s="6" t="s">
        <v>32</v>
      </c>
      <c r="E94" s="6" t="s">
        <v>23</v>
      </c>
      <c r="F94" s="6" t="str">
        <f>IF(E94="","Unknown",E94)</f>
        <v>Desktop</v>
      </c>
      <c r="G94" s="6" t="s">
        <v>29</v>
      </c>
      <c r="H94" s="6" t="str">
        <f>IF(G94="","Unknown",G94)</f>
        <v>Organic</v>
      </c>
      <c r="I94" s="6" t="s">
        <v>25</v>
      </c>
      <c r="J94" s="6">
        <v>1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f>IF(O94&gt;0,1,0)</f>
        <v>0</v>
      </c>
      <c r="Q94" s="6">
        <v>0</v>
      </c>
      <c r="S94" s="6">
        <v>76.2</v>
      </c>
      <c r="T94" s="6">
        <f>IF(S94="",MEDIAN($S$2:$S$1409),S94)</f>
        <v>76.2</v>
      </c>
    </row>
    <row r="95" spans="1:20" ht="15" customHeight="1">
      <c r="A95" s="6" t="s">
        <v>129</v>
      </c>
      <c r="B95" s="7">
        <v>45790</v>
      </c>
      <c r="C95" s="6" t="s">
        <v>21</v>
      </c>
      <c r="D95" s="6" t="s">
        <v>36</v>
      </c>
      <c r="E95" s="6" t="s">
        <v>38</v>
      </c>
      <c r="F95" s="6" t="str">
        <f>IF(E95="","Unknown",E95)</f>
        <v>Tablet</v>
      </c>
      <c r="G95" s="6" t="s">
        <v>29</v>
      </c>
      <c r="H95" s="6" t="str">
        <f>IF(G95="","Unknown",G95)</f>
        <v>Organic</v>
      </c>
      <c r="I95" s="6" t="s">
        <v>34</v>
      </c>
      <c r="J95" s="6">
        <v>1</v>
      </c>
      <c r="K95" s="6">
        <v>1</v>
      </c>
      <c r="L95" s="6">
        <v>1</v>
      </c>
      <c r="M95" s="6">
        <v>0</v>
      </c>
      <c r="N95" s="6">
        <v>0</v>
      </c>
      <c r="O95" s="6">
        <v>1</v>
      </c>
      <c r="P95" s="6">
        <f>IF(O95&gt;0,1,0)</f>
        <v>1</v>
      </c>
      <c r="Q95" s="6">
        <v>0</v>
      </c>
      <c r="S95" s="6">
        <v>37.4</v>
      </c>
      <c r="T95" s="6">
        <f>IF(S95="",MEDIAN($S$2:$S$1409),S95)</f>
        <v>37.4</v>
      </c>
    </row>
    <row r="96" spans="1:20" ht="15" customHeight="1">
      <c r="A96" s="6" t="s">
        <v>130</v>
      </c>
      <c r="B96" s="7">
        <v>45760</v>
      </c>
      <c r="C96" s="6" t="s">
        <v>21</v>
      </c>
      <c r="D96" s="6" t="s">
        <v>32</v>
      </c>
      <c r="E96" s="6" t="s">
        <v>28</v>
      </c>
      <c r="F96" s="6" t="str">
        <f>IF(E96="","Unknown",E96)</f>
        <v>Mobile</v>
      </c>
      <c r="G96" s="6" t="s">
        <v>29</v>
      </c>
      <c r="H96" s="6" t="str">
        <f>IF(G96="","Unknown",G96)</f>
        <v>Organic</v>
      </c>
      <c r="I96" s="6" t="s">
        <v>30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f>IF(O96&gt;0,1,0)</f>
        <v>0</v>
      </c>
      <c r="Q96" s="6">
        <v>0</v>
      </c>
      <c r="S96" s="6">
        <v>84.2</v>
      </c>
      <c r="T96" s="6">
        <f>IF(S96="",MEDIAN($S$2:$S$1409),S96)</f>
        <v>84.2</v>
      </c>
    </row>
    <row r="97" spans="1:20" ht="15" customHeight="1">
      <c r="A97" s="6" t="s">
        <v>131</v>
      </c>
      <c r="B97" s="7">
        <v>45693</v>
      </c>
      <c r="C97" s="6" t="s">
        <v>21</v>
      </c>
      <c r="D97" s="6" t="s">
        <v>32</v>
      </c>
      <c r="E97" s="6" t="s">
        <v>28</v>
      </c>
      <c r="F97" s="6" t="str">
        <f>IF(E97="","Unknown",E97)</f>
        <v>Mobile</v>
      </c>
      <c r="G97" s="6" t="s">
        <v>45</v>
      </c>
      <c r="H97" s="6" t="str">
        <f>IF(G97="","Unknown",G97)</f>
        <v>Social</v>
      </c>
      <c r="I97" s="6" t="s">
        <v>30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f>IF(O97&gt;0,1,0)</f>
        <v>0</v>
      </c>
      <c r="Q97" s="6">
        <v>0</v>
      </c>
      <c r="S97" s="6">
        <v>68</v>
      </c>
      <c r="T97" s="6">
        <f>IF(S97="",MEDIAN($S$2:$S$1409),S97)</f>
        <v>68</v>
      </c>
    </row>
    <row r="98" spans="1:20" ht="15" customHeight="1">
      <c r="A98" s="6" t="s">
        <v>132</v>
      </c>
      <c r="B98" s="7">
        <v>45702</v>
      </c>
      <c r="C98" s="6" t="s">
        <v>21</v>
      </c>
      <c r="D98" s="6" t="s">
        <v>27</v>
      </c>
      <c r="E98" s="6" t="s">
        <v>28</v>
      </c>
      <c r="F98" s="6" t="str">
        <f>IF(E98="","Unknown",E98)</f>
        <v>Mobile</v>
      </c>
      <c r="G98" s="6" t="s">
        <v>29</v>
      </c>
      <c r="H98" s="6" t="str">
        <f>IF(G98="","Unknown",G98)</f>
        <v>Organic</v>
      </c>
      <c r="I98" s="6" t="s">
        <v>25</v>
      </c>
      <c r="J98" s="6">
        <v>1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f>IF(O98&gt;0,1,0)</f>
        <v>0</v>
      </c>
      <c r="Q98" s="6">
        <v>0</v>
      </c>
      <c r="S98" s="6">
        <v>53.5</v>
      </c>
      <c r="T98" s="6">
        <f>IF(S98="",MEDIAN($S$2:$S$1409),S98)</f>
        <v>53.5</v>
      </c>
    </row>
    <row r="99" spans="1:20" ht="15" customHeight="1">
      <c r="A99" s="6" t="s">
        <v>133</v>
      </c>
      <c r="B99" s="7">
        <v>45699</v>
      </c>
      <c r="C99" s="6" t="s">
        <v>21</v>
      </c>
      <c r="D99" s="6" t="s">
        <v>22</v>
      </c>
      <c r="E99" s="6" t="s">
        <v>23</v>
      </c>
      <c r="F99" s="6" t="str">
        <f>IF(E99="","Unknown",E99)</f>
        <v>Desktop</v>
      </c>
      <c r="G99" s="6" t="s">
        <v>29</v>
      </c>
      <c r="H99" s="6" t="str">
        <f>IF(G99="","Unknown",G99)</f>
        <v>Organic</v>
      </c>
      <c r="I99" s="6" t="s">
        <v>34</v>
      </c>
      <c r="J99" s="6">
        <v>1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f>IF(O99&gt;0,1,0)</f>
        <v>0</v>
      </c>
      <c r="Q99" s="6">
        <v>0</v>
      </c>
      <c r="S99" s="6">
        <v>63.2</v>
      </c>
      <c r="T99" s="6">
        <f>IF(S99="",MEDIAN($S$2:$S$1409),S99)</f>
        <v>63.2</v>
      </c>
    </row>
    <row r="100" spans="1:20" ht="15" customHeight="1">
      <c r="A100" s="6" t="s">
        <v>134</v>
      </c>
      <c r="B100" s="7">
        <v>45699</v>
      </c>
      <c r="C100" s="6" t="s">
        <v>21</v>
      </c>
      <c r="D100" s="6" t="s">
        <v>32</v>
      </c>
      <c r="E100" s="6" t="s">
        <v>23</v>
      </c>
      <c r="F100" s="6" t="str">
        <f>IF(E100="","Unknown",E100)</f>
        <v>Desktop</v>
      </c>
      <c r="G100" s="6" t="s">
        <v>45</v>
      </c>
      <c r="H100" s="6" t="str">
        <f>IF(G100="","Unknown",G100)</f>
        <v>Social</v>
      </c>
      <c r="I100" s="6" t="s">
        <v>30</v>
      </c>
      <c r="J100" s="6">
        <v>1</v>
      </c>
      <c r="K100" s="6">
        <v>1</v>
      </c>
      <c r="L100" s="6">
        <v>1</v>
      </c>
      <c r="M100" s="6">
        <v>1</v>
      </c>
      <c r="N100" s="6">
        <v>363.32</v>
      </c>
      <c r="O100" s="6">
        <v>0</v>
      </c>
      <c r="P100" s="6">
        <f>IF(O100&gt;0,1,0)</f>
        <v>0</v>
      </c>
      <c r="Q100" s="6">
        <v>0</v>
      </c>
      <c r="R100" s="6">
        <v>9</v>
      </c>
      <c r="S100" s="6">
        <v>55.9</v>
      </c>
      <c r="T100" s="6">
        <f>IF(S100="",MEDIAN($S$2:$S$1409),S100)</f>
        <v>55.9</v>
      </c>
    </row>
    <row r="101" spans="1:20" ht="15" customHeight="1">
      <c r="A101" s="6" t="s">
        <v>135</v>
      </c>
      <c r="B101" s="7">
        <v>45803</v>
      </c>
      <c r="C101" s="6" t="s">
        <v>21</v>
      </c>
      <c r="D101" s="6" t="s">
        <v>22</v>
      </c>
      <c r="E101" s="6" t="s">
        <v>28</v>
      </c>
      <c r="F101" s="6" t="str">
        <f>IF(E101="","Unknown",E101)</f>
        <v>Mobile</v>
      </c>
      <c r="G101" s="6" t="s">
        <v>29</v>
      </c>
      <c r="H101" s="6" t="str">
        <f>IF(G101="","Unknown",G101)</f>
        <v>Organic</v>
      </c>
      <c r="I101" s="6" t="s">
        <v>30</v>
      </c>
      <c r="J101" s="6">
        <v>1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f>IF(O101&gt;0,1,0)</f>
        <v>0</v>
      </c>
      <c r="Q101" s="6">
        <v>0</v>
      </c>
      <c r="S101" s="6">
        <v>63.5</v>
      </c>
      <c r="T101" s="6">
        <f>IF(S101="",MEDIAN($S$2:$S$1409),S101)</f>
        <v>63.5</v>
      </c>
    </row>
    <row r="102" spans="1:20" ht="15" customHeight="1">
      <c r="A102" s="6" t="s">
        <v>136</v>
      </c>
      <c r="B102" s="7">
        <v>45738</v>
      </c>
      <c r="C102" s="6" t="s">
        <v>21</v>
      </c>
      <c r="D102" s="6" t="s">
        <v>22</v>
      </c>
      <c r="E102" s="6" t="s">
        <v>28</v>
      </c>
      <c r="F102" s="6" t="str">
        <f>IF(E102="","Unknown",E102)</f>
        <v>Mobile</v>
      </c>
      <c r="G102" s="6" t="s">
        <v>33</v>
      </c>
      <c r="H102" s="6" t="str">
        <f>IF(G102="","Unknown",G102)</f>
        <v>Paid Search</v>
      </c>
      <c r="I102" s="6" t="s">
        <v>25</v>
      </c>
      <c r="J102" s="6">
        <v>1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f>IF(O102&gt;0,1,0)</f>
        <v>0</v>
      </c>
      <c r="Q102" s="6">
        <v>0</v>
      </c>
      <c r="S102" s="6">
        <v>51.5</v>
      </c>
      <c r="T102" s="6">
        <f>IF(S102="",MEDIAN($S$2:$S$1409),S102)</f>
        <v>51.5</v>
      </c>
    </row>
    <row r="103" spans="1:20" ht="15" customHeight="1">
      <c r="A103" s="6" t="s">
        <v>137</v>
      </c>
      <c r="B103" s="7">
        <v>45755</v>
      </c>
      <c r="C103" s="6" t="s">
        <v>21</v>
      </c>
      <c r="D103" s="6" t="s">
        <v>27</v>
      </c>
      <c r="E103" s="6" t="s">
        <v>28</v>
      </c>
      <c r="F103" s="6" t="str">
        <f>IF(E103="","Unknown",E103)</f>
        <v>Mobile</v>
      </c>
      <c r="G103" s="6" t="s">
        <v>33</v>
      </c>
      <c r="H103" s="6" t="str">
        <f>IF(G103="","Unknown",G103)</f>
        <v>Paid Search</v>
      </c>
      <c r="I103" s="6" t="s">
        <v>30</v>
      </c>
      <c r="J103" s="6">
        <v>1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f>IF(O103&gt;0,1,0)</f>
        <v>0</v>
      </c>
      <c r="Q103" s="6">
        <v>0</v>
      </c>
      <c r="S103" s="6">
        <v>74.400000000000006</v>
      </c>
      <c r="T103" s="6">
        <f>IF(S103="",MEDIAN($S$2:$S$1409),S103)</f>
        <v>74.400000000000006</v>
      </c>
    </row>
    <row r="104" spans="1:20" ht="15" customHeight="1">
      <c r="A104" s="6" t="s">
        <v>138</v>
      </c>
      <c r="B104" s="7">
        <v>45761</v>
      </c>
      <c r="C104" s="6" t="s">
        <v>21</v>
      </c>
      <c r="D104" s="6" t="s">
        <v>22</v>
      </c>
      <c r="E104" s="6" t="s">
        <v>23</v>
      </c>
      <c r="F104" s="6" t="str">
        <f>IF(E104="","Unknown",E104)</f>
        <v>Desktop</v>
      </c>
      <c r="G104" s="6" t="s">
        <v>45</v>
      </c>
      <c r="H104" s="6" t="str">
        <f>IF(G104="","Unknown",G104)</f>
        <v>Social</v>
      </c>
      <c r="I104" s="6" t="s">
        <v>30</v>
      </c>
      <c r="J104" s="6">
        <v>1</v>
      </c>
      <c r="K104" s="6">
        <v>1</v>
      </c>
      <c r="L104" s="6">
        <v>1</v>
      </c>
      <c r="M104" s="6">
        <v>1</v>
      </c>
      <c r="N104" s="6">
        <v>3887.98</v>
      </c>
      <c r="O104" s="6">
        <v>0</v>
      </c>
      <c r="P104" s="6">
        <f>IF(O104&gt;0,1,0)</f>
        <v>0</v>
      </c>
      <c r="Q104" s="6">
        <v>0</v>
      </c>
      <c r="R104" s="6">
        <v>13</v>
      </c>
      <c r="S104" s="6">
        <v>60.2</v>
      </c>
      <c r="T104" s="6">
        <f>IF(S104="",MEDIAN($S$2:$S$1409),S104)</f>
        <v>60.2</v>
      </c>
    </row>
    <row r="105" spans="1:20" ht="15" customHeight="1">
      <c r="A105" s="6" t="s">
        <v>139</v>
      </c>
      <c r="B105" s="7">
        <v>45743</v>
      </c>
      <c r="C105" s="6" t="s">
        <v>21</v>
      </c>
      <c r="D105" s="6" t="s">
        <v>36</v>
      </c>
      <c r="E105" s="6" t="s">
        <v>28</v>
      </c>
      <c r="F105" s="6" t="str">
        <f>IF(E105="","Unknown",E105)</f>
        <v>Mobile</v>
      </c>
      <c r="G105" s="6" t="s">
        <v>24</v>
      </c>
      <c r="H105" s="6" t="str">
        <f>IF(G105="","Unknown",G105)</f>
        <v>Email</v>
      </c>
      <c r="I105" s="6" t="s">
        <v>30</v>
      </c>
      <c r="J105" s="6">
        <v>1</v>
      </c>
      <c r="K105" s="6">
        <v>0</v>
      </c>
      <c r="L105" s="6">
        <v>0</v>
      </c>
      <c r="M105" s="6">
        <v>0</v>
      </c>
      <c r="N105" s="6">
        <v>0</v>
      </c>
      <c r="O105" s="6">
        <v>1</v>
      </c>
      <c r="P105" s="6">
        <f>IF(O105&gt;0,1,0)</f>
        <v>1</v>
      </c>
      <c r="Q105" s="6">
        <v>0</v>
      </c>
      <c r="S105" s="6">
        <v>67.2</v>
      </c>
      <c r="T105" s="6">
        <f>IF(S105="",MEDIAN($S$2:$S$1409),S105)</f>
        <v>67.2</v>
      </c>
    </row>
    <row r="106" spans="1:20" ht="15" customHeight="1">
      <c r="A106" s="6" t="s">
        <v>140</v>
      </c>
      <c r="B106" s="7">
        <v>45662</v>
      </c>
      <c r="C106" s="6" t="s">
        <v>21</v>
      </c>
      <c r="D106" s="6" t="s">
        <v>36</v>
      </c>
      <c r="E106" s="6" t="s">
        <v>28</v>
      </c>
      <c r="F106" s="6" t="str">
        <f>IF(E106="","Unknown",E106)</f>
        <v>Mobile</v>
      </c>
      <c r="G106" s="6" t="s">
        <v>45</v>
      </c>
      <c r="H106" s="6" t="str">
        <f>IF(G106="","Unknown",G106)</f>
        <v>Social</v>
      </c>
      <c r="I106" s="6" t="s">
        <v>30</v>
      </c>
      <c r="J106" s="6">
        <v>1</v>
      </c>
      <c r="K106" s="6">
        <v>1</v>
      </c>
      <c r="L106" s="6">
        <v>1</v>
      </c>
      <c r="M106" s="6">
        <v>0</v>
      </c>
      <c r="N106" s="6">
        <v>0</v>
      </c>
      <c r="O106" s="6">
        <v>0</v>
      </c>
      <c r="P106" s="6">
        <f>IF(O106&gt;0,1,0)</f>
        <v>0</v>
      </c>
      <c r="Q106" s="6">
        <v>0</v>
      </c>
      <c r="S106" s="6">
        <v>79.599999999999994</v>
      </c>
      <c r="T106" s="6">
        <f>IF(S106="",MEDIAN($S$2:$S$1409),S106)</f>
        <v>79.599999999999994</v>
      </c>
    </row>
    <row r="107" spans="1:20" ht="15" customHeight="1">
      <c r="A107" s="6" t="s">
        <v>141</v>
      </c>
      <c r="B107" s="7">
        <v>45682</v>
      </c>
      <c r="C107" s="6" t="s">
        <v>21</v>
      </c>
      <c r="D107" s="6" t="s">
        <v>36</v>
      </c>
      <c r="E107" s="6" t="s">
        <v>28</v>
      </c>
      <c r="F107" s="6" t="str">
        <f>IF(E107="","Unknown",E107)</f>
        <v>Mobile</v>
      </c>
      <c r="G107" s="6" t="s">
        <v>45</v>
      </c>
      <c r="H107" s="6" t="str">
        <f>IF(G107="","Unknown",G107)</f>
        <v>Social</v>
      </c>
      <c r="I107" s="6" t="s">
        <v>25</v>
      </c>
      <c r="J107" s="6">
        <v>1</v>
      </c>
      <c r="K107" s="6">
        <v>1</v>
      </c>
      <c r="L107" s="6">
        <v>1</v>
      </c>
      <c r="M107" s="6">
        <v>1</v>
      </c>
      <c r="N107" s="6">
        <v>8610.7199999999993</v>
      </c>
      <c r="O107" s="6">
        <v>0</v>
      </c>
      <c r="P107" s="6">
        <f>IF(O107&gt;0,1,0)</f>
        <v>0</v>
      </c>
      <c r="Q107" s="6">
        <v>0</v>
      </c>
      <c r="R107" s="6">
        <v>6</v>
      </c>
      <c r="S107" s="6">
        <v>61</v>
      </c>
      <c r="T107" s="6">
        <f>IF(S107="",MEDIAN($S$2:$S$1409),S107)</f>
        <v>61</v>
      </c>
    </row>
    <row r="108" spans="1:20" ht="15" customHeight="1">
      <c r="A108" s="6" t="s">
        <v>142</v>
      </c>
      <c r="B108" s="7">
        <v>45680</v>
      </c>
      <c r="C108" s="6" t="s">
        <v>21</v>
      </c>
      <c r="D108" s="6" t="s">
        <v>27</v>
      </c>
      <c r="E108" s="6" t="s">
        <v>28</v>
      </c>
      <c r="F108" s="6" t="str">
        <f>IF(E108="","Unknown",E108)</f>
        <v>Mobile</v>
      </c>
      <c r="G108" s="6" t="s">
        <v>24</v>
      </c>
      <c r="H108" s="6" t="str">
        <f>IF(G108="","Unknown",G108)</f>
        <v>Email</v>
      </c>
      <c r="I108" s="6" t="s">
        <v>30</v>
      </c>
      <c r="J108" s="6">
        <v>1</v>
      </c>
      <c r="K108" s="6">
        <v>1</v>
      </c>
      <c r="L108" s="6">
        <v>1</v>
      </c>
      <c r="M108" s="6">
        <v>0</v>
      </c>
      <c r="N108" s="6">
        <v>0</v>
      </c>
      <c r="O108" s="6">
        <v>4</v>
      </c>
      <c r="P108" s="6">
        <f>IF(O108&gt;0,1,0)</f>
        <v>1</v>
      </c>
      <c r="Q108" s="6">
        <v>0</v>
      </c>
      <c r="S108" s="6">
        <v>51.1</v>
      </c>
      <c r="T108" s="6">
        <f>IF(S108="",MEDIAN($S$2:$S$1409),S108)</f>
        <v>51.1</v>
      </c>
    </row>
    <row r="109" spans="1:20" ht="15" customHeight="1">
      <c r="A109" s="6" t="s">
        <v>143</v>
      </c>
      <c r="B109" s="7">
        <v>45802</v>
      </c>
      <c r="C109" s="6" t="s">
        <v>21</v>
      </c>
      <c r="D109" s="6" t="s">
        <v>32</v>
      </c>
      <c r="E109" s="6" t="s">
        <v>23</v>
      </c>
      <c r="F109" s="6" t="str">
        <f>IF(E109="","Unknown",E109)</f>
        <v>Desktop</v>
      </c>
      <c r="G109" s="6" t="s">
        <v>43</v>
      </c>
      <c r="H109" s="6" t="str">
        <f>IF(G109="","Unknown",G109)</f>
        <v>Referral</v>
      </c>
      <c r="I109" s="6" t="s">
        <v>30</v>
      </c>
      <c r="J109" s="6">
        <v>1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f>IF(O109&gt;0,1,0)</f>
        <v>0</v>
      </c>
      <c r="Q109" s="6">
        <v>0</v>
      </c>
      <c r="S109" s="6">
        <v>92.1</v>
      </c>
      <c r="T109" s="6">
        <f>IF(S109="",MEDIAN($S$2:$S$1409),S109)</f>
        <v>92.1</v>
      </c>
    </row>
    <row r="110" spans="1:20" ht="15" customHeight="1">
      <c r="A110" s="6" t="s">
        <v>144</v>
      </c>
      <c r="B110" s="7">
        <v>45738</v>
      </c>
      <c r="C110" s="6" t="s">
        <v>21</v>
      </c>
      <c r="D110" s="6" t="s">
        <v>36</v>
      </c>
      <c r="E110" s="6" t="s">
        <v>28</v>
      </c>
      <c r="F110" s="6" t="str">
        <f>IF(E110="","Unknown",E110)</f>
        <v>Mobile</v>
      </c>
      <c r="G110" s="6" t="s">
        <v>43</v>
      </c>
      <c r="H110" s="6" t="str">
        <f>IF(G110="","Unknown",G110)</f>
        <v>Referral</v>
      </c>
      <c r="I110" s="6" t="s">
        <v>25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f>IF(O110&gt;0,1,0)</f>
        <v>0</v>
      </c>
      <c r="Q110" s="6">
        <v>0</v>
      </c>
      <c r="S110" s="6">
        <v>82.1</v>
      </c>
      <c r="T110" s="6">
        <f>IF(S110="",MEDIAN($S$2:$S$1409),S110)</f>
        <v>82.1</v>
      </c>
    </row>
    <row r="111" spans="1:20" ht="15" customHeight="1">
      <c r="A111" s="6" t="s">
        <v>145</v>
      </c>
      <c r="B111" s="7">
        <v>45700</v>
      </c>
      <c r="C111" s="6" t="s">
        <v>21</v>
      </c>
      <c r="D111" s="6" t="s">
        <v>27</v>
      </c>
      <c r="E111" s="6" t="s">
        <v>23</v>
      </c>
      <c r="F111" s="6" t="str">
        <f>IF(E111="","Unknown",E111)</f>
        <v>Desktop</v>
      </c>
      <c r="G111" s="6" t="s">
        <v>33</v>
      </c>
      <c r="H111" s="6" t="str">
        <f>IF(G111="","Unknown",G111)</f>
        <v>Paid Search</v>
      </c>
      <c r="I111" s="6" t="s">
        <v>25</v>
      </c>
      <c r="J111" s="6">
        <v>1</v>
      </c>
      <c r="K111" s="6">
        <v>0</v>
      </c>
      <c r="L111" s="6">
        <v>0</v>
      </c>
      <c r="M111" s="6">
        <v>0</v>
      </c>
      <c r="N111" s="6">
        <v>0</v>
      </c>
      <c r="O111" s="6">
        <v>1</v>
      </c>
      <c r="P111" s="6">
        <f>IF(O111&gt;0,1,0)</f>
        <v>1</v>
      </c>
      <c r="Q111" s="6">
        <v>0</v>
      </c>
      <c r="S111" s="6">
        <v>74</v>
      </c>
      <c r="T111" s="6">
        <f>IF(S111="",MEDIAN($S$2:$S$1409),S111)</f>
        <v>74</v>
      </c>
    </row>
    <row r="112" spans="1:20" ht="15" customHeight="1">
      <c r="A112" s="6" t="s">
        <v>146</v>
      </c>
      <c r="B112" s="7">
        <v>45775</v>
      </c>
      <c r="C112" s="6" t="s">
        <v>21</v>
      </c>
      <c r="D112" s="6" t="s">
        <v>27</v>
      </c>
      <c r="E112" s="6" t="s">
        <v>23</v>
      </c>
      <c r="F112" s="6" t="str">
        <f>IF(E112="","Unknown",E112)</f>
        <v>Desktop</v>
      </c>
      <c r="G112" s="6" t="s">
        <v>29</v>
      </c>
      <c r="H112" s="6" t="str">
        <f>IF(G112="","Unknown",G112)</f>
        <v>Organic</v>
      </c>
      <c r="I112" s="6" t="s">
        <v>25</v>
      </c>
      <c r="J112" s="6">
        <v>1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f>IF(O112&gt;0,1,0)</f>
        <v>0</v>
      </c>
      <c r="Q112" s="6">
        <v>0</v>
      </c>
      <c r="S112" s="6">
        <v>63.4</v>
      </c>
      <c r="T112" s="6">
        <f>IF(S112="",MEDIAN($S$2:$S$1409),S112)</f>
        <v>63.4</v>
      </c>
    </row>
    <row r="113" spans="1:20" ht="15" customHeight="1">
      <c r="A113" s="6" t="s">
        <v>147</v>
      </c>
      <c r="B113" s="7">
        <v>45687</v>
      </c>
      <c r="C113" s="6" t="s">
        <v>21</v>
      </c>
      <c r="D113" s="6" t="s">
        <v>22</v>
      </c>
      <c r="E113" s="6" t="s">
        <v>28</v>
      </c>
      <c r="F113" s="6" t="str">
        <f>IF(E113="","Unknown",E113)</f>
        <v>Mobile</v>
      </c>
      <c r="G113" s="6" t="s">
        <v>29</v>
      </c>
      <c r="H113" s="6" t="str">
        <f>IF(G113="","Unknown",G113)</f>
        <v>Organic</v>
      </c>
      <c r="I113" s="6" t="s">
        <v>25</v>
      </c>
      <c r="J113" s="6">
        <v>1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f>IF(O113&gt;0,1,0)</f>
        <v>0</v>
      </c>
      <c r="Q113" s="6">
        <v>0</v>
      </c>
      <c r="S113" s="6">
        <v>53.2</v>
      </c>
      <c r="T113" s="6">
        <f>IF(S113="",MEDIAN($S$2:$S$1409),S113)</f>
        <v>53.2</v>
      </c>
    </row>
    <row r="114" spans="1:20" ht="15" customHeight="1">
      <c r="A114" s="6" t="s">
        <v>148</v>
      </c>
      <c r="B114" s="7">
        <v>45796</v>
      </c>
      <c r="C114" s="6" t="s">
        <v>21</v>
      </c>
      <c r="D114" s="6" t="s">
        <v>32</v>
      </c>
      <c r="E114" s="6" t="s">
        <v>38</v>
      </c>
      <c r="F114" s="6" t="str">
        <f>IF(E114="","Unknown",E114)</f>
        <v>Tablet</v>
      </c>
      <c r="G114" s="6" t="s">
        <v>33</v>
      </c>
      <c r="H114" s="6" t="str">
        <f>IF(G114="","Unknown",G114)</f>
        <v>Paid Search</v>
      </c>
      <c r="I114" s="6" t="s">
        <v>30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f>IF(O114&gt;0,1,0)</f>
        <v>0</v>
      </c>
      <c r="Q114" s="6">
        <v>0</v>
      </c>
      <c r="S114" s="6">
        <v>48.1</v>
      </c>
      <c r="T114" s="6">
        <f>IF(S114="",MEDIAN($S$2:$S$1409),S114)</f>
        <v>48.1</v>
      </c>
    </row>
    <row r="115" spans="1:20" ht="15" customHeight="1">
      <c r="A115" s="6" t="s">
        <v>149</v>
      </c>
      <c r="B115" s="7">
        <v>45680</v>
      </c>
      <c r="C115" s="6" t="s">
        <v>21</v>
      </c>
      <c r="D115" s="6" t="s">
        <v>36</v>
      </c>
      <c r="E115" s="6" t="s">
        <v>28</v>
      </c>
      <c r="F115" s="6" t="str">
        <f>IF(E115="","Unknown",E115)</f>
        <v>Mobile</v>
      </c>
      <c r="G115" s="6" t="s">
        <v>45</v>
      </c>
      <c r="H115" s="6" t="str">
        <f>IF(G115="","Unknown",G115)</f>
        <v>Social</v>
      </c>
      <c r="I115" s="6" t="s">
        <v>30</v>
      </c>
      <c r="J115" s="6">
        <v>1</v>
      </c>
      <c r="K115" s="6">
        <v>1</v>
      </c>
      <c r="L115" s="6">
        <v>0</v>
      </c>
      <c r="M115" s="6">
        <v>0</v>
      </c>
      <c r="N115" s="6">
        <v>0</v>
      </c>
      <c r="O115" s="6">
        <v>0</v>
      </c>
      <c r="P115" s="6">
        <f>IF(O115&gt;0,1,0)</f>
        <v>0</v>
      </c>
      <c r="Q115" s="6">
        <v>0</v>
      </c>
      <c r="S115" s="6">
        <v>61.5</v>
      </c>
      <c r="T115" s="6">
        <f>IF(S115="",MEDIAN($S$2:$S$1409),S115)</f>
        <v>61.5</v>
      </c>
    </row>
    <row r="116" spans="1:20" ht="15" customHeight="1">
      <c r="A116" s="6" t="s">
        <v>150</v>
      </c>
      <c r="B116" s="7">
        <v>45744</v>
      </c>
      <c r="C116" s="6" t="s">
        <v>21</v>
      </c>
      <c r="D116" s="6" t="s">
        <v>32</v>
      </c>
      <c r="E116" s="6" t="s">
        <v>23</v>
      </c>
      <c r="F116" s="6" t="str">
        <f>IF(E116="","Unknown",E116)</f>
        <v>Desktop</v>
      </c>
      <c r="G116" s="6" t="s">
        <v>45</v>
      </c>
      <c r="H116" s="6" t="str">
        <f>IF(G116="","Unknown",G116)</f>
        <v>Social</v>
      </c>
      <c r="I116" s="6" t="s">
        <v>30</v>
      </c>
      <c r="J116" s="6">
        <v>1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f>IF(O116&gt;0,1,0)</f>
        <v>0</v>
      </c>
      <c r="Q116" s="6">
        <v>0</v>
      </c>
      <c r="S116" s="6">
        <v>63.2</v>
      </c>
      <c r="T116" s="6">
        <f>IF(S116="",MEDIAN($S$2:$S$1409),S116)</f>
        <v>63.2</v>
      </c>
    </row>
    <row r="117" spans="1:20" ht="15" customHeight="1">
      <c r="A117" s="6" t="s">
        <v>151</v>
      </c>
      <c r="B117" s="7">
        <v>45668</v>
      </c>
      <c r="C117" s="6" t="s">
        <v>21</v>
      </c>
      <c r="D117" s="6" t="s">
        <v>27</v>
      </c>
      <c r="E117" s="6" t="s">
        <v>28</v>
      </c>
      <c r="F117" s="6" t="str">
        <f>IF(E117="","Unknown",E117)</f>
        <v>Mobile</v>
      </c>
      <c r="G117" s="6" t="s">
        <v>29</v>
      </c>
      <c r="H117" s="6" t="str">
        <f>IF(G117="","Unknown",G117)</f>
        <v>Organic</v>
      </c>
      <c r="I117" s="6" t="s">
        <v>30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f>IF(O117&gt;0,1,0)</f>
        <v>0</v>
      </c>
      <c r="Q117" s="6">
        <v>0</v>
      </c>
      <c r="S117" s="6">
        <v>71.900000000000006</v>
      </c>
      <c r="T117" s="6">
        <f>IF(S117="",MEDIAN($S$2:$S$1409),S117)</f>
        <v>71.900000000000006</v>
      </c>
    </row>
    <row r="118" spans="1:20" ht="15" customHeight="1">
      <c r="A118" s="6" t="s">
        <v>152</v>
      </c>
      <c r="B118" s="7">
        <v>45758</v>
      </c>
      <c r="C118" s="6" t="s">
        <v>21</v>
      </c>
      <c r="D118" s="6" t="s">
        <v>22</v>
      </c>
      <c r="E118" s="6" t="s">
        <v>28</v>
      </c>
      <c r="F118" s="6" t="str">
        <f>IF(E118="","Unknown",E118)</f>
        <v>Mobile</v>
      </c>
      <c r="G118" s="6" t="s">
        <v>43</v>
      </c>
      <c r="H118" s="6" t="str">
        <f>IF(G118="","Unknown",G118)</f>
        <v>Referral</v>
      </c>
      <c r="I118" s="6" t="s">
        <v>30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f>IF(O118&gt;0,1,0)</f>
        <v>0</v>
      </c>
      <c r="Q118" s="6">
        <v>0</v>
      </c>
      <c r="S118" s="6">
        <v>62.7</v>
      </c>
      <c r="T118" s="6">
        <f>IF(S118="",MEDIAN($S$2:$S$1409),S118)</f>
        <v>62.7</v>
      </c>
    </row>
    <row r="119" spans="1:20" ht="15" customHeight="1">
      <c r="A119" s="6" t="s">
        <v>153</v>
      </c>
      <c r="B119" s="7">
        <v>45659</v>
      </c>
      <c r="C119" s="6" t="s">
        <v>21</v>
      </c>
      <c r="D119" s="6" t="s">
        <v>27</v>
      </c>
      <c r="E119" s="6" t="s">
        <v>28</v>
      </c>
      <c r="F119" s="6" t="str">
        <f>IF(E119="","Unknown",E119)</f>
        <v>Mobile</v>
      </c>
      <c r="G119" s="6" t="s">
        <v>33</v>
      </c>
      <c r="H119" s="6" t="str">
        <f>IF(G119="","Unknown",G119)</f>
        <v>Paid Search</v>
      </c>
      <c r="I119" s="6" t="s">
        <v>30</v>
      </c>
      <c r="J119" s="6">
        <v>1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f>IF(O119&gt;0,1,0)</f>
        <v>0</v>
      </c>
      <c r="Q119" s="6">
        <v>0</v>
      </c>
      <c r="S119" s="6">
        <v>51.5</v>
      </c>
      <c r="T119" s="6">
        <f>IF(S119="",MEDIAN($S$2:$S$1409),S119)</f>
        <v>51.5</v>
      </c>
    </row>
    <row r="120" spans="1:20" ht="15" customHeight="1">
      <c r="A120" s="6" t="s">
        <v>154</v>
      </c>
      <c r="B120" s="7">
        <v>45734</v>
      </c>
      <c r="C120" s="6" t="s">
        <v>21</v>
      </c>
      <c r="D120" s="6" t="s">
        <v>32</v>
      </c>
      <c r="E120" s="6" t="s">
        <v>28</v>
      </c>
      <c r="F120" s="6" t="str">
        <f>IF(E120="","Unknown",E120)</f>
        <v>Mobile</v>
      </c>
      <c r="G120" s="6" t="s">
        <v>45</v>
      </c>
      <c r="H120" s="6" t="str">
        <f>IF(G120="","Unknown",G120)</f>
        <v>Social</v>
      </c>
      <c r="I120" s="6" t="s">
        <v>30</v>
      </c>
      <c r="J120" s="6">
        <v>1</v>
      </c>
      <c r="K120" s="6">
        <v>1</v>
      </c>
      <c r="L120" s="6">
        <v>1</v>
      </c>
      <c r="M120" s="6">
        <v>0</v>
      </c>
      <c r="N120" s="6">
        <v>0</v>
      </c>
      <c r="O120" s="6">
        <v>0</v>
      </c>
      <c r="P120" s="6">
        <f>IF(O120&gt;0,1,0)</f>
        <v>0</v>
      </c>
      <c r="Q120" s="6">
        <v>0</v>
      </c>
      <c r="S120" s="6">
        <v>39.1</v>
      </c>
      <c r="T120" s="6">
        <f>IF(S120="",MEDIAN($S$2:$S$1409),S120)</f>
        <v>39.1</v>
      </c>
    </row>
    <row r="121" spans="1:20" ht="15" customHeight="1">
      <c r="A121" s="6" t="s">
        <v>155</v>
      </c>
      <c r="B121" s="7">
        <v>45747</v>
      </c>
      <c r="C121" s="6" t="s">
        <v>21</v>
      </c>
      <c r="D121" s="6" t="s">
        <v>22</v>
      </c>
      <c r="E121" s="6" t="s">
        <v>28</v>
      </c>
      <c r="F121" s="6" t="str">
        <f>IF(E121="","Unknown",E121)</f>
        <v>Mobile</v>
      </c>
      <c r="G121" s="6" t="s">
        <v>24</v>
      </c>
      <c r="H121" s="6" t="str">
        <f>IF(G121="","Unknown",G121)</f>
        <v>Email</v>
      </c>
      <c r="I121" s="6" t="s">
        <v>30</v>
      </c>
      <c r="J121" s="6">
        <v>1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f>IF(O121&gt;0,1,0)</f>
        <v>0</v>
      </c>
      <c r="Q121" s="6">
        <v>0</v>
      </c>
      <c r="S121" s="6">
        <v>43.8</v>
      </c>
      <c r="T121" s="6">
        <f>IF(S121="",MEDIAN($S$2:$S$1409),S121)</f>
        <v>43.8</v>
      </c>
    </row>
    <row r="122" spans="1:20" ht="15" customHeight="1">
      <c r="A122" s="6" t="s">
        <v>156</v>
      </c>
      <c r="B122" s="7">
        <v>45663</v>
      </c>
      <c r="C122" s="6" t="s">
        <v>21</v>
      </c>
      <c r="D122" s="6" t="s">
        <v>22</v>
      </c>
      <c r="E122" s="6" t="s">
        <v>28</v>
      </c>
      <c r="F122" s="6" t="str">
        <f>IF(E122="","Unknown",E122)</f>
        <v>Mobile</v>
      </c>
      <c r="G122" s="6" t="s">
        <v>33</v>
      </c>
      <c r="H122" s="6" t="str">
        <f>IF(G122="","Unknown",G122)</f>
        <v>Paid Search</v>
      </c>
      <c r="I122" s="6" t="s">
        <v>25</v>
      </c>
      <c r="J122" s="6">
        <v>1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f>IF(O122&gt;0,1,0)</f>
        <v>0</v>
      </c>
      <c r="Q122" s="6">
        <v>0</v>
      </c>
      <c r="S122" s="6">
        <v>59.9</v>
      </c>
      <c r="T122" s="6">
        <f>IF(S122="",MEDIAN($S$2:$S$1409),S122)</f>
        <v>59.9</v>
      </c>
    </row>
    <row r="123" spans="1:20" ht="15" customHeight="1">
      <c r="A123" s="6" t="s">
        <v>157</v>
      </c>
      <c r="B123" s="7">
        <v>45683</v>
      </c>
      <c r="C123" s="6" t="s">
        <v>21</v>
      </c>
      <c r="D123" s="6" t="s">
        <v>22</v>
      </c>
      <c r="E123" s="6" t="s">
        <v>28</v>
      </c>
      <c r="F123" s="6" t="str">
        <f>IF(E123="","Unknown",E123)</f>
        <v>Mobile</v>
      </c>
      <c r="G123" s="6" t="s">
        <v>43</v>
      </c>
      <c r="H123" s="6" t="str">
        <f>IF(G123="","Unknown",G123)</f>
        <v>Referral</v>
      </c>
      <c r="I123" s="6" t="s">
        <v>30</v>
      </c>
      <c r="J123" s="6">
        <v>1</v>
      </c>
      <c r="K123" s="6">
        <v>1</v>
      </c>
      <c r="L123" s="6">
        <v>0</v>
      </c>
      <c r="M123" s="6">
        <v>0</v>
      </c>
      <c r="N123" s="6">
        <v>0</v>
      </c>
      <c r="O123" s="6">
        <v>0</v>
      </c>
      <c r="P123" s="6">
        <f>IF(O123&gt;0,1,0)</f>
        <v>0</v>
      </c>
      <c r="Q123" s="6">
        <v>0</v>
      </c>
      <c r="S123" s="6">
        <v>71.400000000000006</v>
      </c>
      <c r="T123" s="6">
        <f>IF(S123="",MEDIAN($S$2:$S$1409),S123)</f>
        <v>71.400000000000006</v>
      </c>
    </row>
    <row r="124" spans="1:20" ht="15" customHeight="1">
      <c r="A124" s="6" t="s">
        <v>158</v>
      </c>
      <c r="B124" s="7">
        <v>45769</v>
      </c>
      <c r="C124" s="6" t="s">
        <v>21</v>
      </c>
      <c r="D124" s="6" t="s">
        <v>36</v>
      </c>
      <c r="E124" s="6" t="s">
        <v>28</v>
      </c>
      <c r="F124" s="6" t="str">
        <f>IF(E124="","Unknown",E124)</f>
        <v>Mobile</v>
      </c>
      <c r="G124" s="6" t="s">
        <v>43</v>
      </c>
      <c r="H124" s="6" t="str">
        <f>IF(G124="","Unknown",G124)</f>
        <v>Referral</v>
      </c>
      <c r="I124" s="6" t="s">
        <v>25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f>IF(O124&gt;0,1,0)</f>
        <v>0</v>
      </c>
      <c r="Q124" s="6">
        <v>0</v>
      </c>
      <c r="S124" s="6">
        <v>36.1</v>
      </c>
      <c r="T124" s="6">
        <f>IF(S124="",MEDIAN($S$2:$S$1409),S124)</f>
        <v>36.1</v>
      </c>
    </row>
    <row r="125" spans="1:20" ht="15" customHeight="1">
      <c r="A125" s="6" t="s">
        <v>159</v>
      </c>
      <c r="B125" s="7">
        <v>45807</v>
      </c>
      <c r="C125" s="6" t="s">
        <v>21</v>
      </c>
      <c r="D125" s="6" t="s">
        <v>27</v>
      </c>
      <c r="E125" s="6"/>
      <c r="F125" s="6" t="str">
        <f>IF(E125="","Unknown",E125)</f>
        <v>Unknown</v>
      </c>
      <c r="G125" s="6" t="s">
        <v>24</v>
      </c>
      <c r="H125" s="6" t="str">
        <f>IF(G125="","Unknown",G125)</f>
        <v>Email</v>
      </c>
      <c r="I125" s="6" t="s">
        <v>25</v>
      </c>
      <c r="J125" s="6">
        <v>1</v>
      </c>
      <c r="K125" s="6">
        <v>1</v>
      </c>
      <c r="L125" s="6">
        <v>0</v>
      </c>
      <c r="M125" s="6">
        <v>0</v>
      </c>
      <c r="N125" s="6">
        <v>0</v>
      </c>
      <c r="O125" s="6">
        <v>0</v>
      </c>
      <c r="P125" s="6">
        <f>IF(O125&gt;0,1,0)</f>
        <v>0</v>
      </c>
      <c r="Q125" s="6">
        <v>0</v>
      </c>
      <c r="S125" s="6">
        <v>47.9</v>
      </c>
      <c r="T125" s="6">
        <f>IF(S125="",MEDIAN($S$2:$S$1409),S125)</f>
        <v>47.9</v>
      </c>
    </row>
    <row r="126" spans="1:20" ht="15" customHeight="1">
      <c r="A126" s="6" t="s">
        <v>160</v>
      </c>
      <c r="B126" s="7">
        <v>45795</v>
      </c>
      <c r="C126" s="6" t="s">
        <v>21</v>
      </c>
      <c r="D126" s="6" t="s">
        <v>27</v>
      </c>
      <c r="E126" s="6" t="s">
        <v>23</v>
      </c>
      <c r="F126" s="6" t="str">
        <f>IF(E126="","Unknown",E126)</f>
        <v>Desktop</v>
      </c>
      <c r="G126" s="6" t="s">
        <v>29</v>
      </c>
      <c r="H126" s="6" t="str">
        <f>IF(G126="","Unknown",G126)</f>
        <v>Organic</v>
      </c>
      <c r="I126" s="6" t="s">
        <v>34</v>
      </c>
      <c r="J126" s="6">
        <v>1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f>IF(O126&gt;0,1,0)</f>
        <v>0</v>
      </c>
      <c r="Q126" s="6">
        <v>0</v>
      </c>
      <c r="S126" s="6">
        <v>62.5</v>
      </c>
      <c r="T126" s="6">
        <f>IF(S126="",MEDIAN($S$2:$S$1409),S126)</f>
        <v>62.5</v>
      </c>
    </row>
    <row r="127" spans="1:20" ht="15" customHeight="1">
      <c r="A127" s="6" t="s">
        <v>161</v>
      </c>
      <c r="B127" s="7">
        <v>45670</v>
      </c>
      <c r="C127" s="6" t="s">
        <v>21</v>
      </c>
      <c r="D127" s="6" t="s">
        <v>36</v>
      </c>
      <c r="E127" s="6" t="s">
        <v>23</v>
      </c>
      <c r="F127" s="6" t="str">
        <f>IF(E127="","Unknown",E127)</f>
        <v>Desktop</v>
      </c>
      <c r="G127" s="6" t="s">
        <v>33</v>
      </c>
      <c r="H127" s="6" t="str">
        <f>IF(G127="","Unknown",G127)</f>
        <v>Paid Search</v>
      </c>
      <c r="I127" s="6" t="s">
        <v>34</v>
      </c>
      <c r="J127" s="6">
        <v>1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f>IF(O127&gt;0,1,0)</f>
        <v>0</v>
      </c>
      <c r="Q127" s="6">
        <v>0</v>
      </c>
      <c r="S127" s="6">
        <v>56.9</v>
      </c>
      <c r="T127" s="6">
        <f>IF(S127="",MEDIAN($S$2:$S$1409),S127)</f>
        <v>56.9</v>
      </c>
    </row>
    <row r="128" spans="1:20" ht="15" customHeight="1">
      <c r="A128" s="6" t="s">
        <v>162</v>
      </c>
      <c r="B128" s="7">
        <v>45741</v>
      </c>
      <c r="C128" s="6" t="s">
        <v>21</v>
      </c>
      <c r="D128" s="6" t="s">
        <v>22</v>
      </c>
      <c r="E128" s="6" t="s">
        <v>23</v>
      </c>
      <c r="F128" s="6" t="str">
        <f>IF(E128="","Unknown",E128)</f>
        <v>Desktop</v>
      </c>
      <c r="G128" s="6" t="s">
        <v>24</v>
      </c>
      <c r="H128" s="6" t="str">
        <f>IF(G128="","Unknown",G128)</f>
        <v>Email</v>
      </c>
      <c r="I128" s="6" t="s">
        <v>30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f>IF(O128&gt;0,1,0)</f>
        <v>0</v>
      </c>
      <c r="Q128" s="6">
        <v>0</v>
      </c>
      <c r="S128" s="6">
        <v>64.7</v>
      </c>
      <c r="T128" s="6">
        <f>IF(S128="",MEDIAN($S$2:$S$1409),S128)</f>
        <v>64.7</v>
      </c>
    </row>
    <row r="129" spans="1:20" ht="15" customHeight="1">
      <c r="A129" s="6" t="s">
        <v>163</v>
      </c>
      <c r="B129" s="7">
        <v>45776</v>
      </c>
      <c r="C129" s="6" t="s">
        <v>21</v>
      </c>
      <c r="D129" s="6" t="s">
        <v>36</v>
      </c>
      <c r="E129" s="6" t="s">
        <v>23</v>
      </c>
      <c r="F129" s="6" t="str">
        <f>IF(E129="","Unknown",E129)</f>
        <v>Desktop</v>
      </c>
      <c r="G129" s="6" t="s">
        <v>29</v>
      </c>
      <c r="H129" s="6" t="str">
        <f>IF(G129="","Unknown",G129)</f>
        <v>Organic</v>
      </c>
      <c r="I129" s="6" t="s">
        <v>30</v>
      </c>
      <c r="J129" s="6">
        <v>1</v>
      </c>
      <c r="K129" s="6">
        <v>1</v>
      </c>
      <c r="L129" s="6">
        <v>1</v>
      </c>
      <c r="M129" s="6">
        <v>0</v>
      </c>
      <c r="N129" s="6">
        <v>0</v>
      </c>
      <c r="O129" s="6">
        <v>0</v>
      </c>
      <c r="P129" s="6">
        <f>IF(O129&gt;0,1,0)</f>
        <v>0</v>
      </c>
      <c r="Q129" s="6">
        <v>0</v>
      </c>
      <c r="S129" s="6">
        <v>64</v>
      </c>
      <c r="T129" s="6">
        <f>IF(S129="",MEDIAN($S$2:$S$1409),S129)</f>
        <v>64</v>
      </c>
    </row>
    <row r="130" spans="1:20" ht="15" customHeight="1">
      <c r="A130" s="6" t="s">
        <v>164</v>
      </c>
      <c r="B130" s="7">
        <v>45794</v>
      </c>
      <c r="C130" s="6" t="s">
        <v>21</v>
      </c>
      <c r="D130" s="6" t="s">
        <v>32</v>
      </c>
      <c r="E130" s="6" t="s">
        <v>28</v>
      </c>
      <c r="F130" s="6" t="str">
        <f>IF(E130="","Unknown",E130)</f>
        <v>Mobile</v>
      </c>
      <c r="G130" s="6" t="s">
        <v>43</v>
      </c>
      <c r="H130" s="6" t="str">
        <f>IF(G130="","Unknown",G130)</f>
        <v>Referral</v>
      </c>
      <c r="I130" s="6" t="s">
        <v>25</v>
      </c>
      <c r="J130" s="6">
        <v>1</v>
      </c>
      <c r="K130" s="6">
        <v>1</v>
      </c>
      <c r="L130" s="6">
        <v>1</v>
      </c>
      <c r="M130" s="6">
        <v>0</v>
      </c>
      <c r="N130" s="6">
        <v>0</v>
      </c>
      <c r="O130" s="6">
        <v>0</v>
      </c>
      <c r="P130" s="6">
        <f>IF(O130&gt;0,1,0)</f>
        <v>0</v>
      </c>
      <c r="Q130" s="6">
        <v>0</v>
      </c>
      <c r="S130" s="6">
        <v>75.2</v>
      </c>
      <c r="T130" s="6">
        <f>IF(S130="",MEDIAN($S$2:$S$1409),S130)</f>
        <v>75.2</v>
      </c>
    </row>
    <row r="131" spans="1:20" ht="15" customHeight="1">
      <c r="A131" s="6" t="s">
        <v>165</v>
      </c>
      <c r="B131" s="7">
        <v>45659</v>
      </c>
      <c r="C131" s="6" t="s">
        <v>21</v>
      </c>
      <c r="D131" s="6" t="s">
        <v>22</v>
      </c>
      <c r="E131" s="6" t="s">
        <v>28</v>
      </c>
      <c r="F131" s="6" t="str">
        <f>IF(E131="","Unknown",E131)</f>
        <v>Mobile</v>
      </c>
      <c r="G131" s="6" t="s">
        <v>33</v>
      </c>
      <c r="H131" s="6" t="str">
        <f>IF(G131="","Unknown",G131)</f>
        <v>Paid Search</v>
      </c>
      <c r="I131" s="6" t="s">
        <v>30</v>
      </c>
      <c r="J131" s="6">
        <v>1</v>
      </c>
      <c r="K131" s="6">
        <v>0</v>
      </c>
      <c r="L131" s="6">
        <v>0</v>
      </c>
      <c r="M131" s="6">
        <v>0</v>
      </c>
      <c r="N131" s="6">
        <v>0</v>
      </c>
      <c r="O131" s="6">
        <v>1</v>
      </c>
      <c r="P131" s="6">
        <f>IF(O131&gt;0,1,0)</f>
        <v>1</v>
      </c>
      <c r="Q131" s="6">
        <v>0</v>
      </c>
      <c r="S131" s="6">
        <v>79</v>
      </c>
      <c r="T131" s="6">
        <f>IF(S131="",MEDIAN($S$2:$S$1409),S131)</f>
        <v>79</v>
      </c>
    </row>
    <row r="132" spans="1:20" ht="15" customHeight="1">
      <c r="A132" s="6" t="s">
        <v>166</v>
      </c>
      <c r="B132" s="7">
        <v>45691</v>
      </c>
      <c r="C132" s="6" t="s">
        <v>21</v>
      </c>
      <c r="D132" s="6" t="s">
        <v>36</v>
      </c>
      <c r="E132" s="6" t="s">
        <v>28</v>
      </c>
      <c r="F132" s="6" t="str">
        <f>IF(E132="","Unknown",E132)</f>
        <v>Mobile</v>
      </c>
      <c r="G132" s="6" t="s">
        <v>29</v>
      </c>
      <c r="H132" s="6" t="str">
        <f>IF(G132="","Unknown",G132)</f>
        <v>Organic</v>
      </c>
      <c r="I132" s="6" t="s">
        <v>30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f>IF(O132&gt;0,1,0)</f>
        <v>0</v>
      </c>
      <c r="Q132" s="6">
        <v>0</v>
      </c>
      <c r="S132" s="6">
        <v>33</v>
      </c>
      <c r="T132" s="6">
        <f>IF(S132="",MEDIAN($S$2:$S$1409),S132)</f>
        <v>33</v>
      </c>
    </row>
    <row r="133" spans="1:20" ht="15" customHeight="1">
      <c r="A133" s="6" t="s">
        <v>167</v>
      </c>
      <c r="B133" s="7">
        <v>45720</v>
      </c>
      <c r="C133" s="6" t="s">
        <v>21</v>
      </c>
      <c r="D133" s="6" t="s">
        <v>32</v>
      </c>
      <c r="E133" s="6" t="s">
        <v>28</v>
      </c>
      <c r="F133" s="6" t="str">
        <f>IF(E133="","Unknown",E133)</f>
        <v>Mobile</v>
      </c>
      <c r="G133" s="6" t="s">
        <v>29</v>
      </c>
      <c r="H133" s="6" t="str">
        <f>IF(G133="","Unknown",G133)</f>
        <v>Organic</v>
      </c>
      <c r="I133" s="6" t="s">
        <v>30</v>
      </c>
      <c r="J133" s="6">
        <v>1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f>IF(O133&gt;0,1,0)</f>
        <v>0</v>
      </c>
      <c r="Q133" s="6">
        <v>0</v>
      </c>
      <c r="S133" s="6">
        <v>67.900000000000006</v>
      </c>
      <c r="T133" s="6">
        <f>IF(S133="",MEDIAN($S$2:$S$1409),S133)</f>
        <v>67.900000000000006</v>
      </c>
    </row>
    <row r="134" spans="1:20" ht="15" customHeight="1">
      <c r="A134" s="6" t="s">
        <v>168</v>
      </c>
      <c r="B134" s="7">
        <v>45683</v>
      </c>
      <c r="C134" s="6" t="s">
        <v>21</v>
      </c>
      <c r="D134" s="6" t="s">
        <v>36</v>
      </c>
      <c r="E134" s="6" t="s">
        <v>28</v>
      </c>
      <c r="F134" s="6" t="str">
        <f>IF(E134="","Unknown",E134)</f>
        <v>Mobile</v>
      </c>
      <c r="G134" s="6" t="s">
        <v>33</v>
      </c>
      <c r="H134" s="6" t="str">
        <f>IF(G134="","Unknown",G134)</f>
        <v>Paid Search</v>
      </c>
      <c r="I134" s="6" t="s">
        <v>25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f>IF(O134&gt;0,1,0)</f>
        <v>0</v>
      </c>
      <c r="Q134" s="6">
        <v>0</v>
      </c>
      <c r="S134" s="6">
        <v>42.2</v>
      </c>
      <c r="T134" s="6">
        <f>IF(S134="",MEDIAN($S$2:$S$1409),S134)</f>
        <v>42.2</v>
      </c>
    </row>
    <row r="135" spans="1:20" ht="15" customHeight="1">
      <c r="A135" s="6" t="s">
        <v>169</v>
      </c>
      <c r="B135" s="7">
        <v>45789</v>
      </c>
      <c r="C135" s="6" t="s">
        <v>21</v>
      </c>
      <c r="D135" s="6" t="s">
        <v>27</v>
      </c>
      <c r="E135" s="6" t="s">
        <v>28</v>
      </c>
      <c r="F135" s="6" t="str">
        <f>IF(E135="","Unknown",E135)</f>
        <v>Mobile</v>
      </c>
      <c r="G135" s="6" t="s">
        <v>33</v>
      </c>
      <c r="H135" s="6" t="str">
        <f>IF(G135="","Unknown",G135)</f>
        <v>Paid Search</v>
      </c>
      <c r="I135" s="6" t="s">
        <v>25</v>
      </c>
      <c r="J135" s="6">
        <v>1</v>
      </c>
      <c r="K135" s="6">
        <v>1</v>
      </c>
      <c r="L135" s="6">
        <v>1</v>
      </c>
      <c r="M135" s="6">
        <v>0</v>
      </c>
      <c r="N135" s="6">
        <v>0</v>
      </c>
      <c r="O135" s="6">
        <v>0</v>
      </c>
      <c r="P135" s="6">
        <f>IF(O135&gt;0,1,0)</f>
        <v>0</v>
      </c>
      <c r="Q135" s="6">
        <v>0</v>
      </c>
      <c r="S135" s="6">
        <v>43.4</v>
      </c>
      <c r="T135" s="6">
        <f>IF(S135="",MEDIAN($S$2:$S$1409),S135)</f>
        <v>43.4</v>
      </c>
    </row>
    <row r="136" spans="1:20" ht="15" customHeight="1">
      <c r="A136" s="6" t="s">
        <v>170</v>
      </c>
      <c r="B136" s="7">
        <v>45722</v>
      </c>
      <c r="C136" s="6" t="s">
        <v>21</v>
      </c>
      <c r="D136" s="6" t="s">
        <v>22</v>
      </c>
      <c r="E136" s="6" t="s">
        <v>28</v>
      </c>
      <c r="F136" s="6" t="str">
        <f>IF(E136="","Unknown",E136)</f>
        <v>Mobile</v>
      </c>
      <c r="G136" s="6" t="s">
        <v>29</v>
      </c>
      <c r="H136" s="6" t="str">
        <f>IF(G136="","Unknown",G136)</f>
        <v>Organic</v>
      </c>
      <c r="I136" s="6" t="s">
        <v>25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f>IF(O136&gt;0,1,0)</f>
        <v>0</v>
      </c>
      <c r="Q136" s="6">
        <v>0</v>
      </c>
      <c r="S136" s="6">
        <v>54.4</v>
      </c>
      <c r="T136" s="6">
        <f>IF(S136="",MEDIAN($S$2:$S$1409),S136)</f>
        <v>54.4</v>
      </c>
    </row>
    <row r="137" spans="1:20" ht="15" customHeight="1">
      <c r="A137" s="6" t="s">
        <v>171</v>
      </c>
      <c r="B137" s="7">
        <v>45726</v>
      </c>
      <c r="C137" s="6" t="s">
        <v>21</v>
      </c>
      <c r="D137" s="6" t="s">
        <v>36</v>
      </c>
      <c r="E137" s="6" t="s">
        <v>23</v>
      </c>
      <c r="F137" s="6" t="str">
        <f>IF(E137="","Unknown",E137)</f>
        <v>Desktop</v>
      </c>
      <c r="G137" s="6" t="s">
        <v>24</v>
      </c>
      <c r="H137" s="6" t="str">
        <f>IF(G137="","Unknown",G137)</f>
        <v>Email</v>
      </c>
      <c r="I137" s="6" t="s">
        <v>34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f>IF(O137&gt;0,1,0)</f>
        <v>0</v>
      </c>
      <c r="Q137" s="6">
        <v>0</v>
      </c>
      <c r="S137" s="6">
        <v>45.7</v>
      </c>
      <c r="T137" s="6">
        <f>IF(S137="",MEDIAN($S$2:$S$1409),S137)</f>
        <v>45.7</v>
      </c>
    </row>
    <row r="138" spans="1:20" ht="15" customHeight="1">
      <c r="A138" s="6" t="s">
        <v>172</v>
      </c>
      <c r="B138" s="7">
        <v>45783</v>
      </c>
      <c r="C138" s="6" t="s">
        <v>21</v>
      </c>
      <c r="D138" s="6" t="s">
        <v>22</v>
      </c>
      <c r="E138" s="6" t="s">
        <v>28</v>
      </c>
      <c r="F138" s="6" t="str">
        <f>IF(E138="","Unknown",E138)</f>
        <v>Mobile</v>
      </c>
      <c r="G138" s="6" t="s">
        <v>33</v>
      </c>
      <c r="H138" s="6" t="str">
        <f>IF(G138="","Unknown",G138)</f>
        <v>Paid Search</v>
      </c>
      <c r="I138" s="6" t="s">
        <v>30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3</v>
      </c>
      <c r="P138" s="6">
        <f>IF(O138&gt;0,1,0)</f>
        <v>1</v>
      </c>
      <c r="Q138" s="6">
        <v>0</v>
      </c>
      <c r="S138" s="6">
        <v>32</v>
      </c>
      <c r="T138" s="6">
        <f>IF(S138="",MEDIAN($S$2:$S$1409),S138)</f>
        <v>32</v>
      </c>
    </row>
    <row r="139" spans="1:20" ht="15" customHeight="1">
      <c r="A139" s="6" t="s">
        <v>173</v>
      </c>
      <c r="B139" s="7">
        <v>45711</v>
      </c>
      <c r="C139" s="6" t="s">
        <v>21</v>
      </c>
      <c r="D139" s="6" t="s">
        <v>36</v>
      </c>
      <c r="E139" s="6" t="s">
        <v>23</v>
      </c>
      <c r="F139" s="6" t="str">
        <f>IF(E139="","Unknown",E139)</f>
        <v>Desktop</v>
      </c>
      <c r="G139" s="6" t="s">
        <v>33</v>
      </c>
      <c r="H139" s="6" t="str">
        <f>IF(G139="","Unknown",G139)</f>
        <v>Paid Search</v>
      </c>
      <c r="I139" s="6" t="s">
        <v>30</v>
      </c>
      <c r="J139" s="6">
        <v>1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f>IF(O139&gt;0,1,0)</f>
        <v>0</v>
      </c>
      <c r="Q139" s="6">
        <v>0</v>
      </c>
      <c r="S139" s="6">
        <v>70.900000000000006</v>
      </c>
      <c r="T139" s="6">
        <f>IF(S139="",MEDIAN($S$2:$S$1409),S139)</f>
        <v>70.900000000000006</v>
      </c>
    </row>
    <row r="140" spans="1:20" ht="15" customHeight="1">
      <c r="A140" s="6" t="s">
        <v>174</v>
      </c>
      <c r="B140" s="7">
        <v>45686</v>
      </c>
      <c r="C140" s="6" t="s">
        <v>21</v>
      </c>
      <c r="D140" s="6" t="s">
        <v>27</v>
      </c>
      <c r="E140" s="6" t="s">
        <v>28</v>
      </c>
      <c r="F140" s="6" t="str">
        <f>IF(E140="","Unknown",E140)</f>
        <v>Mobile</v>
      </c>
      <c r="G140" s="6" t="s">
        <v>45</v>
      </c>
      <c r="H140" s="6" t="str">
        <f>IF(G140="","Unknown",G140)</f>
        <v>Social</v>
      </c>
      <c r="I140" s="6" t="s">
        <v>25</v>
      </c>
      <c r="J140" s="6">
        <v>1</v>
      </c>
      <c r="K140" s="6">
        <v>1</v>
      </c>
      <c r="L140" s="6">
        <v>1</v>
      </c>
      <c r="M140" s="6">
        <v>0</v>
      </c>
      <c r="N140" s="6">
        <v>0</v>
      </c>
      <c r="O140" s="6">
        <v>0</v>
      </c>
      <c r="P140" s="6">
        <f>IF(O140&gt;0,1,0)</f>
        <v>0</v>
      </c>
      <c r="Q140" s="6">
        <v>0</v>
      </c>
      <c r="S140" s="6">
        <v>59.1</v>
      </c>
      <c r="T140" s="6">
        <f>IF(S140="",MEDIAN($S$2:$S$1409),S140)</f>
        <v>59.1</v>
      </c>
    </row>
    <row r="141" spans="1:20" ht="15" customHeight="1">
      <c r="A141" s="6" t="s">
        <v>175</v>
      </c>
      <c r="B141" s="7">
        <v>45688</v>
      </c>
      <c r="C141" s="6" t="s">
        <v>21</v>
      </c>
      <c r="D141" s="6" t="s">
        <v>22</v>
      </c>
      <c r="E141" s="6" t="s">
        <v>28</v>
      </c>
      <c r="F141" s="6" t="str">
        <f>IF(E141="","Unknown",E141)</f>
        <v>Mobile</v>
      </c>
      <c r="G141" s="6" t="s">
        <v>29</v>
      </c>
      <c r="H141" s="6" t="str">
        <f>IF(G141="","Unknown",G141)</f>
        <v>Organic</v>
      </c>
      <c r="I141" s="6" t="s">
        <v>25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f>IF(O141&gt;0,1,0)</f>
        <v>0</v>
      </c>
      <c r="Q141" s="6">
        <v>0</v>
      </c>
      <c r="S141" s="6">
        <v>62.4</v>
      </c>
      <c r="T141" s="6">
        <f>IF(S141="",MEDIAN($S$2:$S$1409),S141)</f>
        <v>62.4</v>
      </c>
    </row>
    <row r="142" spans="1:20" ht="15" customHeight="1">
      <c r="A142" s="6" t="s">
        <v>176</v>
      </c>
      <c r="B142" s="7">
        <v>45676</v>
      </c>
      <c r="C142" s="6" t="s">
        <v>21</v>
      </c>
      <c r="D142" s="6" t="s">
        <v>36</v>
      </c>
      <c r="E142" s="6" t="s">
        <v>28</v>
      </c>
      <c r="F142" s="6" t="str">
        <f>IF(E142="","Unknown",E142)</f>
        <v>Mobile</v>
      </c>
      <c r="G142" s="6" t="s">
        <v>29</v>
      </c>
      <c r="H142" s="6" t="str">
        <f>IF(G142="","Unknown",G142)</f>
        <v>Organic</v>
      </c>
      <c r="I142" s="6" t="s">
        <v>30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f>IF(O142&gt;0,1,0)</f>
        <v>0</v>
      </c>
      <c r="Q142" s="6">
        <v>0</v>
      </c>
      <c r="S142" s="6">
        <v>49.6</v>
      </c>
      <c r="T142" s="6">
        <f>IF(S142="",MEDIAN($S$2:$S$1409),S142)</f>
        <v>49.6</v>
      </c>
    </row>
    <row r="143" spans="1:20" ht="15" customHeight="1">
      <c r="A143" s="6" t="s">
        <v>177</v>
      </c>
      <c r="B143" s="7">
        <v>45750</v>
      </c>
      <c r="C143" s="6" t="s">
        <v>21</v>
      </c>
      <c r="D143" s="6" t="s">
        <v>27</v>
      </c>
      <c r="E143" s="6" t="s">
        <v>23</v>
      </c>
      <c r="F143" s="6" t="str">
        <f>IF(E143="","Unknown",E143)</f>
        <v>Desktop</v>
      </c>
      <c r="G143" s="6" t="s">
        <v>45</v>
      </c>
      <c r="H143" s="6" t="str">
        <f>IF(G143="","Unknown",G143)</f>
        <v>Social</v>
      </c>
      <c r="I143" s="6" t="s">
        <v>30</v>
      </c>
      <c r="J143" s="6">
        <v>1</v>
      </c>
      <c r="K143" s="6">
        <v>1</v>
      </c>
      <c r="L143" s="6">
        <v>1</v>
      </c>
      <c r="M143" s="6">
        <v>1</v>
      </c>
      <c r="N143" s="6">
        <v>404.4</v>
      </c>
      <c r="O143" s="6">
        <v>0</v>
      </c>
      <c r="P143" s="6">
        <f>IF(O143&gt;0,1,0)</f>
        <v>0</v>
      </c>
      <c r="Q143" s="6">
        <v>0</v>
      </c>
      <c r="R143" s="6">
        <v>9</v>
      </c>
      <c r="S143" s="6">
        <v>80.599999999999994</v>
      </c>
      <c r="T143" s="6">
        <f>IF(S143="",MEDIAN($S$2:$S$1409),S143)</f>
        <v>80.599999999999994</v>
      </c>
    </row>
    <row r="144" spans="1:20" ht="15" customHeight="1">
      <c r="A144" s="6" t="s">
        <v>178</v>
      </c>
      <c r="B144" s="7">
        <v>45754</v>
      </c>
      <c r="C144" s="6" t="s">
        <v>21</v>
      </c>
      <c r="D144" s="6" t="s">
        <v>22</v>
      </c>
      <c r="E144" s="6" t="s">
        <v>28</v>
      </c>
      <c r="F144" s="6" t="str">
        <f>IF(E144="","Unknown",E144)</f>
        <v>Mobile</v>
      </c>
      <c r="G144" s="6" t="s">
        <v>33</v>
      </c>
      <c r="H144" s="6" t="str">
        <f>IF(G144="","Unknown",G144)</f>
        <v>Paid Search</v>
      </c>
      <c r="I144" s="6" t="s">
        <v>30</v>
      </c>
      <c r="J144" s="6">
        <v>1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f>IF(O144&gt;0,1,0)</f>
        <v>0</v>
      </c>
      <c r="Q144" s="6">
        <v>0</v>
      </c>
      <c r="S144" s="6">
        <v>47.9</v>
      </c>
      <c r="T144" s="6">
        <f>IF(S144="",MEDIAN($S$2:$S$1409),S144)</f>
        <v>47.9</v>
      </c>
    </row>
    <row r="145" spans="1:20" ht="15" customHeight="1">
      <c r="A145" s="6" t="s">
        <v>179</v>
      </c>
      <c r="B145" s="7">
        <v>45663</v>
      </c>
      <c r="C145" s="6" t="s">
        <v>21</v>
      </c>
      <c r="D145" s="6" t="s">
        <v>32</v>
      </c>
      <c r="E145" s="6" t="s">
        <v>28</v>
      </c>
      <c r="F145" s="6" t="str">
        <f>IF(E145="","Unknown",E145)</f>
        <v>Mobile</v>
      </c>
      <c r="G145" s="6" t="s">
        <v>33</v>
      </c>
      <c r="H145" s="6" t="str">
        <f>IF(G145="","Unknown",G145)</f>
        <v>Paid Search</v>
      </c>
      <c r="I145" s="6" t="s">
        <v>25</v>
      </c>
      <c r="J145" s="6">
        <v>1</v>
      </c>
      <c r="K145" s="6">
        <v>1</v>
      </c>
      <c r="L145" s="6">
        <v>0</v>
      </c>
      <c r="M145" s="6">
        <v>0</v>
      </c>
      <c r="N145" s="6">
        <v>0</v>
      </c>
      <c r="O145" s="6">
        <v>0</v>
      </c>
      <c r="P145" s="6">
        <f>IF(O145&gt;0,1,0)</f>
        <v>0</v>
      </c>
      <c r="Q145" s="6">
        <v>0</v>
      </c>
      <c r="S145" s="6">
        <v>54.8</v>
      </c>
      <c r="T145" s="6">
        <f>IF(S145="",MEDIAN($S$2:$S$1409),S145)</f>
        <v>54.8</v>
      </c>
    </row>
    <row r="146" spans="1:20" ht="15" customHeight="1">
      <c r="A146" s="6" t="s">
        <v>180</v>
      </c>
      <c r="B146" s="7">
        <v>45758</v>
      </c>
      <c r="C146" s="6" t="s">
        <v>21</v>
      </c>
      <c r="D146" s="6" t="s">
        <v>32</v>
      </c>
      <c r="E146" s="6" t="s">
        <v>28</v>
      </c>
      <c r="F146" s="6" t="str">
        <f>IF(E146="","Unknown",E146)</f>
        <v>Mobile</v>
      </c>
      <c r="G146" s="6" t="s">
        <v>29</v>
      </c>
      <c r="H146" s="6" t="str">
        <f>IF(G146="","Unknown",G146)</f>
        <v>Organic</v>
      </c>
      <c r="I146" s="6" t="s">
        <v>30</v>
      </c>
      <c r="J146" s="6">
        <v>1</v>
      </c>
      <c r="K146" s="6">
        <v>0</v>
      </c>
      <c r="L146" s="6">
        <v>0</v>
      </c>
      <c r="M146" s="6">
        <v>0</v>
      </c>
      <c r="N146" s="6">
        <v>0</v>
      </c>
      <c r="O146" s="6">
        <v>1</v>
      </c>
      <c r="P146" s="6">
        <f>IF(O146&gt;0,1,0)</f>
        <v>1</v>
      </c>
      <c r="Q146" s="6">
        <v>0</v>
      </c>
      <c r="S146" s="6">
        <v>53.9</v>
      </c>
      <c r="T146" s="6">
        <f>IF(S146="",MEDIAN($S$2:$S$1409),S146)</f>
        <v>53.9</v>
      </c>
    </row>
    <row r="147" spans="1:20" ht="15" customHeight="1">
      <c r="A147" s="6" t="s">
        <v>181</v>
      </c>
      <c r="B147" s="7">
        <v>45770</v>
      </c>
      <c r="C147" s="6" t="s">
        <v>21</v>
      </c>
      <c r="D147" s="6" t="s">
        <v>32</v>
      </c>
      <c r="E147" s="6" t="s">
        <v>28</v>
      </c>
      <c r="F147" s="6" t="str">
        <f>IF(E147="","Unknown",E147)</f>
        <v>Mobile</v>
      </c>
      <c r="G147" s="6" t="s">
        <v>33</v>
      </c>
      <c r="H147" s="6" t="str">
        <f>IF(G147="","Unknown",G147)</f>
        <v>Paid Search</v>
      </c>
      <c r="I147" s="6" t="s">
        <v>30</v>
      </c>
      <c r="J147" s="6">
        <v>1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f>IF(O147&gt;0,1,0)</f>
        <v>0</v>
      </c>
      <c r="Q147" s="6">
        <v>0</v>
      </c>
      <c r="S147" s="6">
        <v>41.3</v>
      </c>
      <c r="T147" s="6">
        <f>IF(S147="",MEDIAN($S$2:$S$1409),S147)</f>
        <v>41.3</v>
      </c>
    </row>
    <row r="148" spans="1:20" ht="15" customHeight="1">
      <c r="A148" s="6" t="s">
        <v>182</v>
      </c>
      <c r="B148" s="7">
        <v>45741</v>
      </c>
      <c r="C148" s="6" t="s">
        <v>21</v>
      </c>
      <c r="D148" s="6" t="s">
        <v>27</v>
      </c>
      <c r="E148" s="6" t="s">
        <v>28</v>
      </c>
      <c r="F148" s="6" t="str">
        <f>IF(E148="","Unknown",E148)</f>
        <v>Mobile</v>
      </c>
      <c r="G148" s="6" t="s">
        <v>29</v>
      </c>
      <c r="H148" s="6" t="str">
        <f>IF(G148="","Unknown",G148)</f>
        <v>Organic</v>
      </c>
      <c r="I148" s="6" t="s">
        <v>25</v>
      </c>
      <c r="J148" s="6">
        <v>1</v>
      </c>
      <c r="K148" s="6">
        <v>1</v>
      </c>
      <c r="L148" s="6">
        <v>0</v>
      </c>
      <c r="M148" s="6">
        <v>0</v>
      </c>
      <c r="N148" s="6">
        <v>0</v>
      </c>
      <c r="O148" s="6">
        <v>0</v>
      </c>
      <c r="P148" s="6">
        <f>IF(O148&gt;0,1,0)</f>
        <v>0</v>
      </c>
      <c r="Q148" s="6">
        <v>0</v>
      </c>
      <c r="S148" s="6">
        <v>38.9</v>
      </c>
      <c r="T148" s="6">
        <f>IF(S148="",MEDIAN($S$2:$S$1409),S148)</f>
        <v>38.9</v>
      </c>
    </row>
    <row r="149" spans="1:20" ht="15" customHeight="1">
      <c r="A149" s="6" t="s">
        <v>183</v>
      </c>
      <c r="B149" s="7">
        <v>45802</v>
      </c>
      <c r="C149" s="6" t="s">
        <v>21</v>
      </c>
      <c r="D149" s="6" t="s">
        <v>36</v>
      </c>
      <c r="E149" s="6" t="s">
        <v>23</v>
      </c>
      <c r="F149" s="6" t="str">
        <f>IF(E149="","Unknown",E149)</f>
        <v>Desktop</v>
      </c>
      <c r="G149" s="6" t="s">
        <v>29</v>
      </c>
      <c r="H149" s="6" t="str">
        <f>IF(G149="","Unknown",G149)</f>
        <v>Organic</v>
      </c>
      <c r="I149" s="6" t="s">
        <v>25</v>
      </c>
      <c r="J149" s="6">
        <v>1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f>IF(O149&gt;0,1,0)</f>
        <v>0</v>
      </c>
      <c r="Q149" s="6">
        <v>0</v>
      </c>
      <c r="S149" s="6">
        <v>63.6</v>
      </c>
      <c r="T149" s="6">
        <f>IF(S149="",MEDIAN($S$2:$S$1409),S149)</f>
        <v>63.6</v>
      </c>
    </row>
    <row r="150" spans="1:20" ht="15" customHeight="1">
      <c r="A150" s="6" t="s">
        <v>184</v>
      </c>
      <c r="B150" s="7">
        <v>45685</v>
      </c>
      <c r="C150" s="6" t="s">
        <v>21</v>
      </c>
      <c r="D150" s="6" t="s">
        <v>22</v>
      </c>
      <c r="E150" s="6" t="s">
        <v>28</v>
      </c>
      <c r="F150" s="6" t="str">
        <f>IF(E150="","Unknown",E150)</f>
        <v>Mobile</v>
      </c>
      <c r="G150" s="6" t="s">
        <v>29</v>
      </c>
      <c r="H150" s="6" t="str">
        <f>IF(G150="","Unknown",G150)</f>
        <v>Organic</v>
      </c>
      <c r="I150" s="6" t="s">
        <v>30</v>
      </c>
      <c r="J150" s="6">
        <v>1</v>
      </c>
      <c r="K150" s="6">
        <v>1</v>
      </c>
      <c r="L150" s="6">
        <v>1</v>
      </c>
      <c r="M150" s="6">
        <v>1</v>
      </c>
      <c r="N150" s="6">
        <v>577.94000000000005</v>
      </c>
      <c r="O150" s="6">
        <v>0</v>
      </c>
      <c r="P150" s="6">
        <f>IF(O150&gt;0,1,0)</f>
        <v>0</v>
      </c>
      <c r="Q150" s="6">
        <v>0</v>
      </c>
      <c r="R150" s="6">
        <v>9</v>
      </c>
      <c r="S150" s="6">
        <v>76.599999999999994</v>
      </c>
      <c r="T150" s="6">
        <f>IF(S150="",MEDIAN($S$2:$S$1409),S150)</f>
        <v>76.599999999999994</v>
      </c>
    </row>
    <row r="151" spans="1:20" ht="15" customHeight="1">
      <c r="A151" s="6" t="s">
        <v>185</v>
      </c>
      <c r="B151" s="7">
        <v>45700</v>
      </c>
      <c r="C151" s="6" t="s">
        <v>21</v>
      </c>
      <c r="D151" s="6" t="s">
        <v>27</v>
      </c>
      <c r="E151" s="6" t="s">
        <v>28</v>
      </c>
      <c r="F151" s="6" t="str">
        <f>IF(E151="","Unknown",E151)</f>
        <v>Mobile</v>
      </c>
      <c r="G151" s="6" t="s">
        <v>33</v>
      </c>
      <c r="H151" s="6" t="str">
        <f>IF(G151="","Unknown",G151)</f>
        <v>Paid Search</v>
      </c>
      <c r="I151" s="6" t="s">
        <v>34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1</v>
      </c>
      <c r="P151" s="6">
        <f>IF(O151&gt;0,1,0)</f>
        <v>1</v>
      </c>
      <c r="Q151" s="6">
        <v>0</v>
      </c>
      <c r="S151" s="6">
        <v>67.599999999999994</v>
      </c>
      <c r="T151" s="6">
        <f>IF(S151="",MEDIAN($S$2:$S$1409),S151)</f>
        <v>67.599999999999994</v>
      </c>
    </row>
    <row r="152" spans="1:20" ht="15" customHeight="1">
      <c r="A152" s="6" t="s">
        <v>186</v>
      </c>
      <c r="B152" s="7">
        <v>45776</v>
      </c>
      <c r="C152" s="6" t="s">
        <v>21</v>
      </c>
      <c r="D152" s="6" t="s">
        <v>22</v>
      </c>
      <c r="E152" s="6" t="s">
        <v>28</v>
      </c>
      <c r="F152" s="6" t="str">
        <f>IF(E152="","Unknown",E152)</f>
        <v>Mobile</v>
      </c>
      <c r="G152" s="6" t="s">
        <v>45</v>
      </c>
      <c r="H152" s="6" t="str">
        <f>IF(G152="","Unknown",G152)</f>
        <v>Social</v>
      </c>
      <c r="I152" s="6" t="s">
        <v>34</v>
      </c>
      <c r="J152" s="6">
        <v>1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f>IF(O152&gt;0,1,0)</f>
        <v>0</v>
      </c>
      <c r="Q152" s="6">
        <v>0</v>
      </c>
      <c r="S152" s="6">
        <v>43.1</v>
      </c>
      <c r="T152" s="6">
        <f>IF(S152="",MEDIAN($S$2:$S$1409),S152)</f>
        <v>43.1</v>
      </c>
    </row>
    <row r="153" spans="1:20" ht="15" customHeight="1">
      <c r="A153" s="6" t="s">
        <v>187</v>
      </c>
      <c r="B153" s="7">
        <v>45729</v>
      </c>
      <c r="C153" s="6" t="s">
        <v>21</v>
      </c>
      <c r="D153" s="6" t="s">
        <v>36</v>
      </c>
      <c r="E153" s="6" t="s">
        <v>28</v>
      </c>
      <c r="F153" s="6" t="str">
        <f>IF(E153="","Unknown",E153)</f>
        <v>Mobile</v>
      </c>
      <c r="G153" s="6" t="s">
        <v>24</v>
      </c>
      <c r="H153" s="6" t="str">
        <f>IF(G153="","Unknown",G153)</f>
        <v>Email</v>
      </c>
      <c r="I153" s="6" t="s">
        <v>30</v>
      </c>
      <c r="J153" s="6">
        <v>1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f>IF(O153&gt;0,1,0)</f>
        <v>0</v>
      </c>
      <c r="Q153" s="6">
        <v>0</v>
      </c>
      <c r="S153" s="6">
        <v>58.3</v>
      </c>
      <c r="T153" s="6">
        <f>IF(S153="",MEDIAN($S$2:$S$1409),S153)</f>
        <v>58.3</v>
      </c>
    </row>
    <row r="154" spans="1:20" ht="15" customHeight="1">
      <c r="A154" s="6" t="s">
        <v>188</v>
      </c>
      <c r="B154" s="7">
        <v>45692</v>
      </c>
      <c r="C154" s="6" t="s">
        <v>21</v>
      </c>
      <c r="D154" s="6" t="s">
        <v>32</v>
      </c>
      <c r="E154" s="6" t="s">
        <v>23</v>
      </c>
      <c r="F154" s="6" t="str">
        <f>IF(E154="","Unknown",E154)</f>
        <v>Desktop</v>
      </c>
      <c r="G154" s="6" t="s">
        <v>33</v>
      </c>
      <c r="H154" s="6" t="str">
        <f>IF(G154="","Unknown",G154)</f>
        <v>Paid Search</v>
      </c>
      <c r="I154" s="6" t="s">
        <v>30</v>
      </c>
      <c r="J154" s="6">
        <v>1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f>IF(O154&gt;0,1,0)</f>
        <v>0</v>
      </c>
      <c r="Q154" s="6">
        <v>0</v>
      </c>
      <c r="S154" s="6">
        <v>69.8</v>
      </c>
      <c r="T154" s="6">
        <f>IF(S154="",MEDIAN($S$2:$S$1409),S154)</f>
        <v>69.8</v>
      </c>
    </row>
    <row r="155" spans="1:20" ht="15" customHeight="1">
      <c r="A155" s="6" t="s">
        <v>189</v>
      </c>
      <c r="B155" s="7">
        <v>45720</v>
      </c>
      <c r="C155" s="6" t="s">
        <v>21</v>
      </c>
      <c r="D155" s="6" t="s">
        <v>36</v>
      </c>
      <c r="E155" s="6" t="s">
        <v>28</v>
      </c>
      <c r="F155" s="6" t="str">
        <f>IF(E155="","Unknown",E155)</f>
        <v>Mobile</v>
      </c>
      <c r="G155" s="6" t="s">
        <v>43</v>
      </c>
      <c r="H155" s="6" t="str">
        <f>IF(G155="","Unknown",G155)</f>
        <v>Referral</v>
      </c>
      <c r="I155" s="6" t="s">
        <v>30</v>
      </c>
      <c r="J155" s="6">
        <v>1</v>
      </c>
      <c r="K155" s="6">
        <v>1</v>
      </c>
      <c r="L155" s="6">
        <v>0</v>
      </c>
      <c r="M155" s="6">
        <v>0</v>
      </c>
      <c r="N155" s="6">
        <v>0</v>
      </c>
      <c r="O155" s="6">
        <v>0</v>
      </c>
      <c r="P155" s="6">
        <f>IF(O155&gt;0,1,0)</f>
        <v>0</v>
      </c>
      <c r="Q155" s="6">
        <v>0</v>
      </c>
      <c r="S155" s="6"/>
      <c r="T155" s="6">
        <f>IF(S155="",MEDIAN($S$2:$S$1409),S155)</f>
        <v>59.9</v>
      </c>
    </row>
    <row r="156" spans="1:20" ht="15" customHeight="1">
      <c r="A156" s="6" t="s">
        <v>190</v>
      </c>
      <c r="B156" s="7">
        <v>45692</v>
      </c>
      <c r="C156" s="6" t="s">
        <v>21</v>
      </c>
      <c r="D156" s="6" t="s">
        <v>27</v>
      </c>
      <c r="E156" s="6" t="s">
        <v>28</v>
      </c>
      <c r="F156" s="6" t="str">
        <f>IF(E156="","Unknown",E156)</f>
        <v>Mobile</v>
      </c>
      <c r="G156" s="6" t="s">
        <v>33</v>
      </c>
      <c r="H156" s="6" t="str">
        <f>IF(G156="","Unknown",G156)</f>
        <v>Paid Search</v>
      </c>
      <c r="I156" s="6" t="s">
        <v>25</v>
      </c>
      <c r="J156" s="6">
        <v>1</v>
      </c>
      <c r="K156" s="6">
        <v>1</v>
      </c>
      <c r="L156" s="6">
        <v>0</v>
      </c>
      <c r="M156" s="6">
        <v>0</v>
      </c>
      <c r="N156" s="6">
        <v>0</v>
      </c>
      <c r="O156" s="6">
        <v>0</v>
      </c>
      <c r="P156" s="6">
        <f>IF(O156&gt;0,1,0)</f>
        <v>0</v>
      </c>
      <c r="Q156" s="6">
        <v>0</v>
      </c>
      <c r="S156" s="6">
        <v>41.9</v>
      </c>
      <c r="T156" s="6">
        <f>IF(S156="",MEDIAN($S$2:$S$1409),S156)</f>
        <v>41.9</v>
      </c>
    </row>
    <row r="157" spans="1:20" ht="15" customHeight="1">
      <c r="A157" s="6" t="s">
        <v>191</v>
      </c>
      <c r="B157" s="7">
        <v>45727</v>
      </c>
      <c r="C157" s="6" t="s">
        <v>21</v>
      </c>
      <c r="D157" s="6" t="s">
        <v>22</v>
      </c>
      <c r="E157" s="6" t="s">
        <v>23</v>
      </c>
      <c r="F157" s="6" t="str">
        <f>IF(E157="","Unknown",E157)</f>
        <v>Desktop</v>
      </c>
      <c r="G157" s="6" t="s">
        <v>29</v>
      </c>
      <c r="H157" s="6" t="str">
        <f>IF(G157="","Unknown",G157)</f>
        <v>Organic</v>
      </c>
      <c r="I157" s="6" t="s">
        <v>30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f>IF(O157&gt;0,1,0)</f>
        <v>0</v>
      </c>
      <c r="Q157" s="6">
        <v>0</v>
      </c>
      <c r="S157" s="6">
        <v>33.1</v>
      </c>
      <c r="T157" s="6">
        <f>IF(S157="",MEDIAN($S$2:$S$1409),S157)</f>
        <v>33.1</v>
      </c>
    </row>
    <row r="158" spans="1:20" ht="15" customHeight="1">
      <c r="A158" s="6" t="s">
        <v>192</v>
      </c>
      <c r="B158" s="7">
        <v>45769</v>
      </c>
      <c r="C158" s="6" t="s">
        <v>21</v>
      </c>
      <c r="D158" s="6" t="s">
        <v>27</v>
      </c>
      <c r="E158" s="6" t="s">
        <v>28</v>
      </c>
      <c r="F158" s="6" t="str">
        <f>IF(E158="","Unknown",E158)</f>
        <v>Mobile</v>
      </c>
      <c r="G158" s="6" t="s">
        <v>29</v>
      </c>
      <c r="H158" s="6" t="str">
        <f>IF(G158="","Unknown",G158)</f>
        <v>Organic</v>
      </c>
      <c r="I158" s="6" t="s">
        <v>30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f>IF(O158&gt;0,1,0)</f>
        <v>0</v>
      </c>
      <c r="Q158" s="6">
        <v>0</v>
      </c>
      <c r="S158" s="6">
        <v>58.6</v>
      </c>
      <c r="T158" s="6">
        <f>IF(S158="",MEDIAN($S$2:$S$1409),S158)</f>
        <v>58.6</v>
      </c>
    </row>
    <row r="159" spans="1:20" ht="15" customHeight="1">
      <c r="A159" s="6" t="s">
        <v>193</v>
      </c>
      <c r="B159" s="7">
        <v>45724</v>
      </c>
      <c r="C159" s="6" t="s">
        <v>21</v>
      </c>
      <c r="D159" s="6" t="s">
        <v>22</v>
      </c>
      <c r="E159" s="6" t="s">
        <v>23</v>
      </c>
      <c r="F159" s="6" t="str">
        <f>IF(E159="","Unknown",E159)</f>
        <v>Desktop</v>
      </c>
      <c r="G159" s="6" t="s">
        <v>33</v>
      </c>
      <c r="H159" s="6" t="str">
        <f>IF(G159="","Unknown",G159)</f>
        <v>Paid Search</v>
      </c>
      <c r="I159" s="6" t="s">
        <v>30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f>IF(O159&gt;0,1,0)</f>
        <v>0</v>
      </c>
      <c r="Q159" s="6">
        <v>0</v>
      </c>
      <c r="S159" s="6">
        <v>55.7</v>
      </c>
      <c r="T159" s="6">
        <f>IF(S159="",MEDIAN($S$2:$S$1409),S159)</f>
        <v>55.7</v>
      </c>
    </row>
    <row r="160" spans="1:20" ht="15" customHeight="1">
      <c r="A160" s="6" t="s">
        <v>194</v>
      </c>
      <c r="B160" s="7">
        <v>45726</v>
      </c>
      <c r="C160" s="6" t="s">
        <v>21</v>
      </c>
      <c r="D160" s="6" t="s">
        <v>32</v>
      </c>
      <c r="E160" s="6" t="s">
        <v>28</v>
      </c>
      <c r="F160" s="6" t="str">
        <f>IF(E160="","Unknown",E160)</f>
        <v>Mobile</v>
      </c>
      <c r="G160" s="6" t="s">
        <v>29</v>
      </c>
      <c r="H160" s="6" t="str">
        <f>IF(G160="","Unknown",G160)</f>
        <v>Organic</v>
      </c>
      <c r="I160" s="6" t="s">
        <v>30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2</v>
      </c>
      <c r="P160" s="6">
        <f>IF(O160&gt;0,1,0)</f>
        <v>1</v>
      </c>
      <c r="Q160" s="6">
        <v>0</v>
      </c>
      <c r="S160" s="6">
        <v>64.900000000000006</v>
      </c>
      <c r="T160" s="6">
        <f>IF(S160="",MEDIAN($S$2:$S$1409),S160)</f>
        <v>64.900000000000006</v>
      </c>
    </row>
    <row r="161" spans="1:20" ht="15" customHeight="1">
      <c r="A161" s="6" t="s">
        <v>195</v>
      </c>
      <c r="B161" s="7">
        <v>45795</v>
      </c>
      <c r="C161" s="6" t="s">
        <v>21</v>
      </c>
      <c r="D161" s="6" t="s">
        <v>22</v>
      </c>
      <c r="E161" s="6" t="s">
        <v>23</v>
      </c>
      <c r="F161" s="6" t="str">
        <f>IF(E161="","Unknown",E161)</f>
        <v>Desktop</v>
      </c>
      <c r="G161" s="6" t="s">
        <v>33</v>
      </c>
      <c r="H161" s="6" t="str">
        <f>IF(G161="","Unknown",G161)</f>
        <v>Paid Search</v>
      </c>
      <c r="I161" s="6" t="s">
        <v>25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f>IF(O161&gt;0,1,0)</f>
        <v>0</v>
      </c>
      <c r="Q161" s="6">
        <v>0</v>
      </c>
      <c r="S161" s="6">
        <v>72.3</v>
      </c>
      <c r="T161" s="6">
        <f>IF(S161="",MEDIAN($S$2:$S$1409),S161)</f>
        <v>72.3</v>
      </c>
    </row>
    <row r="162" spans="1:20" ht="15" customHeight="1">
      <c r="A162" s="6" t="s">
        <v>196</v>
      </c>
      <c r="B162" s="7">
        <v>45791</v>
      </c>
      <c r="C162" s="6" t="s">
        <v>21</v>
      </c>
      <c r="D162" s="6" t="s">
        <v>22</v>
      </c>
      <c r="E162" s="6" t="s">
        <v>28</v>
      </c>
      <c r="F162" s="6" t="str">
        <f>IF(E162="","Unknown",E162)</f>
        <v>Mobile</v>
      </c>
      <c r="G162" s="6" t="s">
        <v>45</v>
      </c>
      <c r="H162" s="6" t="str">
        <f>IF(G162="","Unknown",G162)</f>
        <v>Social</v>
      </c>
      <c r="I162" s="6" t="s">
        <v>25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f>IF(O162&gt;0,1,0)</f>
        <v>0</v>
      </c>
      <c r="Q162" s="6">
        <v>0</v>
      </c>
      <c r="S162" s="6">
        <v>42.1</v>
      </c>
      <c r="T162" s="6">
        <f>IF(S162="",MEDIAN($S$2:$S$1409),S162)</f>
        <v>42.1</v>
      </c>
    </row>
    <row r="163" spans="1:20" ht="15" customHeight="1">
      <c r="A163" s="6" t="s">
        <v>197</v>
      </c>
      <c r="B163" s="7">
        <v>45689</v>
      </c>
      <c r="C163" s="6" t="s">
        <v>21</v>
      </c>
      <c r="D163" s="6" t="s">
        <v>22</v>
      </c>
      <c r="E163" s="6" t="s">
        <v>28</v>
      </c>
      <c r="F163" s="6" t="str">
        <f>IF(E163="","Unknown",E163)</f>
        <v>Mobile</v>
      </c>
      <c r="G163" s="6" t="s">
        <v>29</v>
      </c>
      <c r="H163" s="6" t="str">
        <f>IF(G163="","Unknown",G163)</f>
        <v>Organic</v>
      </c>
      <c r="I163" s="6" t="s">
        <v>30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f>IF(O163&gt;0,1,0)</f>
        <v>0</v>
      </c>
      <c r="Q163" s="6">
        <v>0</v>
      </c>
      <c r="S163" s="6"/>
      <c r="T163" s="6">
        <f>IF(S163="",MEDIAN($S$2:$S$1409),S163)</f>
        <v>59.9</v>
      </c>
    </row>
    <row r="164" spans="1:20" ht="15" customHeight="1">
      <c r="A164" s="6" t="s">
        <v>198</v>
      </c>
      <c r="B164" s="7">
        <v>45758</v>
      </c>
      <c r="C164" s="6" t="s">
        <v>21</v>
      </c>
      <c r="D164" s="6" t="s">
        <v>36</v>
      </c>
      <c r="E164" s="6" t="s">
        <v>28</v>
      </c>
      <c r="F164" s="6" t="str">
        <f>IF(E164="","Unknown",E164)</f>
        <v>Mobile</v>
      </c>
      <c r="G164" s="6" t="s">
        <v>29</v>
      </c>
      <c r="H164" s="6" t="str">
        <f>IF(G164="","Unknown",G164)</f>
        <v>Organic</v>
      </c>
      <c r="I164" s="6" t="s">
        <v>25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1</v>
      </c>
      <c r="P164" s="6">
        <f>IF(O164&gt;0,1,0)</f>
        <v>1</v>
      </c>
      <c r="Q164" s="6">
        <v>0</v>
      </c>
      <c r="S164" s="6">
        <v>64.8</v>
      </c>
      <c r="T164" s="6">
        <f>IF(S164="",MEDIAN($S$2:$S$1409),S164)</f>
        <v>64.8</v>
      </c>
    </row>
    <row r="165" spans="1:20" ht="15" customHeight="1">
      <c r="A165" s="6" t="s">
        <v>199</v>
      </c>
      <c r="B165" s="7">
        <v>45702</v>
      </c>
      <c r="C165" s="6" t="s">
        <v>21</v>
      </c>
      <c r="D165" s="6" t="s">
        <v>32</v>
      </c>
      <c r="E165" s="6" t="s">
        <v>28</v>
      </c>
      <c r="F165" s="6" t="str">
        <f>IF(E165="","Unknown",E165)</f>
        <v>Mobile</v>
      </c>
      <c r="G165" s="6" t="s">
        <v>29</v>
      </c>
      <c r="H165" s="6" t="str">
        <f>IF(G165="","Unknown",G165)</f>
        <v>Organic</v>
      </c>
      <c r="I165" s="6" t="s">
        <v>30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f>IF(O165&gt;0,1,0)</f>
        <v>0</v>
      </c>
      <c r="Q165" s="6">
        <v>0</v>
      </c>
      <c r="S165" s="6">
        <v>72.099999999999994</v>
      </c>
      <c r="T165" s="6">
        <f>IF(S165="",MEDIAN($S$2:$S$1409),S165)</f>
        <v>72.099999999999994</v>
      </c>
    </row>
    <row r="166" spans="1:20" ht="15" customHeight="1">
      <c r="A166" s="6" t="s">
        <v>200</v>
      </c>
      <c r="B166" s="7">
        <v>45796</v>
      </c>
      <c r="C166" s="6" t="s">
        <v>21</v>
      </c>
      <c r="D166" s="6" t="s">
        <v>32</v>
      </c>
      <c r="E166" s="6" t="s">
        <v>28</v>
      </c>
      <c r="F166" s="6" t="str">
        <f>IF(E166="","Unknown",E166)</f>
        <v>Mobile</v>
      </c>
      <c r="G166" s="6" t="s">
        <v>45</v>
      </c>
      <c r="H166" s="6" t="str">
        <f>IF(G166="","Unknown",G166)</f>
        <v>Social</v>
      </c>
      <c r="I166" s="6" t="s">
        <v>30</v>
      </c>
      <c r="J166" s="6">
        <v>1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f>IF(O166&gt;0,1,0)</f>
        <v>0</v>
      </c>
      <c r="Q166" s="6">
        <v>0</v>
      </c>
      <c r="S166" s="6">
        <v>50.6</v>
      </c>
      <c r="T166" s="6">
        <f>IF(S166="",MEDIAN($S$2:$S$1409),S166)</f>
        <v>50.6</v>
      </c>
    </row>
    <row r="167" spans="1:20" ht="15" customHeight="1">
      <c r="A167" s="6" t="s">
        <v>201</v>
      </c>
      <c r="B167" s="7">
        <v>45773</v>
      </c>
      <c r="C167" s="6" t="s">
        <v>21</v>
      </c>
      <c r="D167" s="6" t="s">
        <v>22</v>
      </c>
      <c r="E167" s="6" t="s">
        <v>23</v>
      </c>
      <c r="F167" s="6" t="str">
        <f>IF(E167="","Unknown",E167)</f>
        <v>Desktop</v>
      </c>
      <c r="G167" s="6" t="s">
        <v>33</v>
      </c>
      <c r="H167" s="6" t="str">
        <f>IF(G167="","Unknown",G167)</f>
        <v>Paid Search</v>
      </c>
      <c r="I167" s="6" t="s">
        <v>25</v>
      </c>
      <c r="J167" s="6">
        <v>1</v>
      </c>
      <c r="K167" s="6">
        <v>1</v>
      </c>
      <c r="L167" s="6">
        <v>1</v>
      </c>
      <c r="M167" s="6">
        <v>1</v>
      </c>
      <c r="N167" s="6">
        <v>1281.25</v>
      </c>
      <c r="O167" s="6">
        <v>1</v>
      </c>
      <c r="P167" s="6">
        <f>IF(O167&gt;0,1,0)</f>
        <v>1</v>
      </c>
      <c r="Q167" s="6">
        <v>0</v>
      </c>
      <c r="R167" s="6">
        <v>9</v>
      </c>
      <c r="S167" s="6">
        <v>43.4</v>
      </c>
      <c r="T167" s="6">
        <f>IF(S167="",MEDIAN($S$2:$S$1409),S167)</f>
        <v>43.4</v>
      </c>
    </row>
    <row r="168" spans="1:20" ht="15" customHeight="1">
      <c r="A168" s="6" t="s">
        <v>202</v>
      </c>
      <c r="B168" s="7">
        <v>45753</v>
      </c>
      <c r="C168" s="6" t="s">
        <v>21</v>
      </c>
      <c r="D168" s="6" t="s">
        <v>36</v>
      </c>
      <c r="E168" s="6" t="s">
        <v>28</v>
      </c>
      <c r="F168" s="6" t="str">
        <f>IF(E168="","Unknown",E168)</f>
        <v>Mobile</v>
      </c>
      <c r="G168" s="6" t="s">
        <v>45</v>
      </c>
      <c r="H168" s="6" t="str">
        <f>IF(G168="","Unknown",G168)</f>
        <v>Social</v>
      </c>
      <c r="I168" s="6" t="s">
        <v>30</v>
      </c>
      <c r="J168" s="6">
        <v>1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f>IF(O168&gt;0,1,0)</f>
        <v>0</v>
      </c>
      <c r="Q168" s="6">
        <v>0</v>
      </c>
      <c r="S168" s="6">
        <v>59.7</v>
      </c>
      <c r="T168" s="6">
        <f>IF(S168="",MEDIAN($S$2:$S$1409),S168)</f>
        <v>59.7</v>
      </c>
    </row>
    <row r="169" spans="1:20" ht="15" customHeight="1">
      <c r="A169" s="6" t="s">
        <v>203</v>
      </c>
      <c r="B169" s="7">
        <v>45722</v>
      </c>
      <c r="C169" s="6" t="s">
        <v>21</v>
      </c>
      <c r="D169" s="6" t="s">
        <v>36</v>
      </c>
      <c r="E169" s="6" t="s">
        <v>28</v>
      </c>
      <c r="F169" s="6" t="str">
        <f>IF(E169="","Unknown",E169)</f>
        <v>Mobile</v>
      </c>
      <c r="G169" s="6" t="s">
        <v>33</v>
      </c>
      <c r="H169" s="6" t="str">
        <f>IF(G169="","Unknown",G169)</f>
        <v>Paid Search</v>
      </c>
      <c r="I169" s="6" t="s">
        <v>30</v>
      </c>
      <c r="J169" s="6">
        <v>1</v>
      </c>
      <c r="K169" s="6">
        <v>0</v>
      </c>
      <c r="L169" s="6">
        <v>0</v>
      </c>
      <c r="M169" s="6">
        <v>0</v>
      </c>
      <c r="N169" s="6">
        <v>0</v>
      </c>
      <c r="O169" s="6">
        <v>1</v>
      </c>
      <c r="P169" s="6">
        <f>IF(O169&gt;0,1,0)</f>
        <v>1</v>
      </c>
      <c r="Q169" s="6">
        <v>0</v>
      </c>
      <c r="S169" s="6"/>
      <c r="T169" s="6">
        <f>IF(S169="",MEDIAN($S$2:$S$1409),S169)</f>
        <v>59.9</v>
      </c>
    </row>
    <row r="170" spans="1:20" ht="15" customHeight="1">
      <c r="A170" s="6" t="s">
        <v>204</v>
      </c>
      <c r="B170" s="7">
        <v>45726</v>
      </c>
      <c r="C170" s="6" t="s">
        <v>21</v>
      </c>
      <c r="D170" s="6" t="s">
        <v>27</v>
      </c>
      <c r="E170" s="6" t="s">
        <v>28</v>
      </c>
      <c r="F170" s="6" t="str">
        <f>IF(E170="","Unknown",E170)</f>
        <v>Mobile</v>
      </c>
      <c r="G170" s="6" t="s">
        <v>45</v>
      </c>
      <c r="H170" s="6" t="str">
        <f>IF(G170="","Unknown",G170)</f>
        <v>Social</v>
      </c>
      <c r="I170" s="6" t="s">
        <v>25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f>IF(O170&gt;0,1,0)</f>
        <v>0</v>
      </c>
      <c r="Q170" s="6">
        <v>0</v>
      </c>
      <c r="S170" s="6">
        <v>54.5</v>
      </c>
      <c r="T170" s="6">
        <f>IF(S170="",MEDIAN($S$2:$S$1409),S170)</f>
        <v>54.5</v>
      </c>
    </row>
    <row r="171" spans="1:20" ht="15" customHeight="1">
      <c r="A171" s="6" t="s">
        <v>205</v>
      </c>
      <c r="B171" s="7">
        <v>45746</v>
      </c>
      <c r="C171" s="6" t="s">
        <v>21</v>
      </c>
      <c r="D171" s="6" t="s">
        <v>22</v>
      </c>
      <c r="E171" s="6" t="s">
        <v>28</v>
      </c>
      <c r="F171" s="6" t="str">
        <f>IF(E171="","Unknown",E171)</f>
        <v>Mobile</v>
      </c>
      <c r="G171" s="6" t="s">
        <v>29</v>
      </c>
      <c r="H171" s="6" t="str">
        <f>IF(G171="","Unknown",G171)</f>
        <v>Organic</v>
      </c>
      <c r="I171" s="6" t="s">
        <v>30</v>
      </c>
      <c r="J171" s="6">
        <v>1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f>IF(O171&gt;0,1,0)</f>
        <v>0</v>
      </c>
      <c r="Q171" s="6">
        <v>0</v>
      </c>
      <c r="S171" s="6">
        <v>71.099999999999994</v>
      </c>
      <c r="T171" s="6">
        <f>IF(S171="",MEDIAN($S$2:$S$1409),S171)</f>
        <v>71.099999999999994</v>
      </c>
    </row>
    <row r="172" spans="1:20" ht="15" customHeight="1">
      <c r="A172" s="6" t="s">
        <v>206</v>
      </c>
      <c r="B172" s="7">
        <v>45806</v>
      </c>
      <c r="C172" s="6" t="s">
        <v>21</v>
      </c>
      <c r="D172" s="6" t="s">
        <v>32</v>
      </c>
      <c r="E172" s="6"/>
      <c r="F172" s="6" t="str">
        <f>IF(E172="","Unknown",E172)</f>
        <v>Unknown</v>
      </c>
      <c r="G172" s="6" t="s">
        <v>33</v>
      </c>
      <c r="H172" s="6" t="str">
        <f>IF(G172="","Unknown",G172)</f>
        <v>Paid Search</v>
      </c>
      <c r="I172" s="6" t="s">
        <v>30</v>
      </c>
      <c r="J172" s="6">
        <v>1</v>
      </c>
      <c r="K172" s="6">
        <v>1</v>
      </c>
      <c r="L172" s="6">
        <v>1</v>
      </c>
      <c r="M172" s="6">
        <v>0</v>
      </c>
      <c r="N172" s="6">
        <v>0</v>
      </c>
      <c r="O172" s="6">
        <v>0</v>
      </c>
      <c r="P172" s="6">
        <f>IF(O172&gt;0,1,0)</f>
        <v>0</v>
      </c>
      <c r="Q172" s="6">
        <v>0</v>
      </c>
      <c r="S172" s="6">
        <v>44.4</v>
      </c>
      <c r="T172" s="6">
        <f>IF(S172="",MEDIAN($S$2:$S$1409),S172)</f>
        <v>44.4</v>
      </c>
    </row>
    <row r="173" spans="1:20" ht="15" customHeight="1">
      <c r="A173" s="6" t="s">
        <v>207</v>
      </c>
      <c r="B173" s="7">
        <v>45739</v>
      </c>
      <c r="C173" s="6" t="s">
        <v>21</v>
      </c>
      <c r="D173" s="6" t="s">
        <v>22</v>
      </c>
      <c r="E173" s="6" t="s">
        <v>28</v>
      </c>
      <c r="F173" s="6" t="str">
        <f>IF(E173="","Unknown",E173)</f>
        <v>Mobile</v>
      </c>
      <c r="G173" s="6" t="s">
        <v>29</v>
      </c>
      <c r="H173" s="6" t="str">
        <f>IF(G173="","Unknown",G173)</f>
        <v>Organic</v>
      </c>
      <c r="I173" s="6" t="s">
        <v>30</v>
      </c>
      <c r="J173" s="6">
        <v>1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f>IF(O173&gt;0,1,0)</f>
        <v>0</v>
      </c>
      <c r="Q173" s="6">
        <v>0</v>
      </c>
      <c r="S173" s="6">
        <v>61.7</v>
      </c>
      <c r="T173" s="6">
        <f>IF(S173="",MEDIAN($S$2:$S$1409),S173)</f>
        <v>61.7</v>
      </c>
    </row>
    <row r="174" spans="1:20" ht="15" customHeight="1">
      <c r="A174" s="6" t="s">
        <v>208</v>
      </c>
      <c r="B174" s="7">
        <v>45706</v>
      </c>
      <c r="C174" s="6" t="s">
        <v>21</v>
      </c>
      <c r="D174" s="6" t="s">
        <v>22</v>
      </c>
      <c r="E174" s="6" t="s">
        <v>38</v>
      </c>
      <c r="F174" s="6" t="str">
        <f>IF(E174="","Unknown",E174)</f>
        <v>Tablet</v>
      </c>
      <c r="G174" s="6" t="s">
        <v>29</v>
      </c>
      <c r="H174" s="6" t="str">
        <f>IF(G174="","Unknown",G174)</f>
        <v>Organic</v>
      </c>
      <c r="I174" s="6" t="s">
        <v>25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1</v>
      </c>
      <c r="P174" s="6">
        <f>IF(O174&gt;0,1,0)</f>
        <v>1</v>
      </c>
      <c r="Q174" s="6">
        <v>0</v>
      </c>
      <c r="S174" s="6">
        <v>81.3</v>
      </c>
      <c r="T174" s="6">
        <f>IF(S174="",MEDIAN($S$2:$S$1409),S174)</f>
        <v>81.3</v>
      </c>
    </row>
    <row r="175" spans="1:20" ht="15" customHeight="1">
      <c r="A175" s="6" t="s">
        <v>209</v>
      </c>
      <c r="B175" s="7">
        <v>45683</v>
      </c>
      <c r="C175" s="6" t="s">
        <v>21</v>
      </c>
      <c r="D175" s="6" t="s">
        <v>22</v>
      </c>
      <c r="E175" s="6" t="s">
        <v>23</v>
      </c>
      <c r="F175" s="6" t="str">
        <f>IF(E175="","Unknown",E175)</f>
        <v>Desktop</v>
      </c>
      <c r="G175" s="6" t="s">
        <v>24</v>
      </c>
      <c r="H175" s="6" t="str">
        <f>IF(G175="","Unknown",G175)</f>
        <v>Email</v>
      </c>
      <c r="I175" s="6" t="s">
        <v>30</v>
      </c>
      <c r="J175" s="6">
        <v>1</v>
      </c>
      <c r="K175" s="6">
        <v>0</v>
      </c>
      <c r="L175" s="6">
        <v>0</v>
      </c>
      <c r="M175" s="6">
        <v>0</v>
      </c>
      <c r="N175" s="6">
        <v>0</v>
      </c>
      <c r="O175" s="6">
        <v>2</v>
      </c>
      <c r="P175" s="6">
        <f>IF(O175&gt;0,1,0)</f>
        <v>1</v>
      </c>
      <c r="Q175" s="6">
        <v>0</v>
      </c>
      <c r="S175" s="6">
        <v>28.7</v>
      </c>
      <c r="T175" s="6">
        <f>IF(S175="",MEDIAN($S$2:$S$1409),S175)</f>
        <v>28.7</v>
      </c>
    </row>
    <row r="176" spans="1:20" ht="15" customHeight="1">
      <c r="A176" s="6" t="s">
        <v>210</v>
      </c>
      <c r="B176" s="7">
        <v>45770</v>
      </c>
      <c r="C176" s="6" t="s">
        <v>21</v>
      </c>
      <c r="D176" s="6" t="s">
        <v>32</v>
      </c>
      <c r="E176" s="6" t="s">
        <v>28</v>
      </c>
      <c r="F176" s="6" t="str">
        <f>IF(E176="","Unknown",E176)</f>
        <v>Mobile</v>
      </c>
      <c r="G176" s="6" t="s">
        <v>45</v>
      </c>
      <c r="H176" s="6" t="str">
        <f>IF(G176="","Unknown",G176)</f>
        <v>Social</v>
      </c>
      <c r="I176" s="6" t="s">
        <v>25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f>IF(O176&gt;0,1,0)</f>
        <v>0</v>
      </c>
      <c r="Q176" s="6">
        <v>0</v>
      </c>
      <c r="S176" s="6">
        <v>53</v>
      </c>
      <c r="T176" s="6">
        <f>IF(S176="",MEDIAN($S$2:$S$1409),S176)</f>
        <v>53</v>
      </c>
    </row>
    <row r="177" spans="1:20" ht="15" customHeight="1">
      <c r="A177" s="6" t="s">
        <v>211</v>
      </c>
      <c r="B177" s="7">
        <v>45732</v>
      </c>
      <c r="C177" s="6" t="s">
        <v>21</v>
      </c>
      <c r="D177" s="6" t="s">
        <v>36</v>
      </c>
      <c r="E177" s="6" t="s">
        <v>38</v>
      </c>
      <c r="F177" s="6" t="str">
        <f>IF(E177="","Unknown",E177)</f>
        <v>Tablet</v>
      </c>
      <c r="G177" s="6" t="s">
        <v>43</v>
      </c>
      <c r="H177" s="6" t="str">
        <f>IF(G177="","Unknown",G177)</f>
        <v>Referral</v>
      </c>
      <c r="I177" s="6" t="s">
        <v>25</v>
      </c>
      <c r="J177" s="6">
        <v>1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f>IF(O177&gt;0,1,0)</f>
        <v>0</v>
      </c>
      <c r="Q177" s="6">
        <v>0</v>
      </c>
      <c r="S177" s="6">
        <v>54.9</v>
      </c>
      <c r="T177" s="6">
        <f>IF(S177="",MEDIAN($S$2:$S$1409),S177)</f>
        <v>54.9</v>
      </c>
    </row>
    <row r="178" spans="1:20" ht="15" customHeight="1">
      <c r="A178" s="6" t="s">
        <v>212</v>
      </c>
      <c r="B178" s="7">
        <v>45776</v>
      </c>
      <c r="C178" s="6" t="s">
        <v>21</v>
      </c>
      <c r="D178" s="6" t="s">
        <v>27</v>
      </c>
      <c r="E178" s="6" t="s">
        <v>28</v>
      </c>
      <c r="F178" s="6" t="str">
        <f>IF(E178="","Unknown",E178)</f>
        <v>Mobile</v>
      </c>
      <c r="G178" s="6" t="s">
        <v>29</v>
      </c>
      <c r="H178" s="6" t="str">
        <f>IF(G178="","Unknown",G178)</f>
        <v>Organic</v>
      </c>
      <c r="I178" s="6" t="s">
        <v>25</v>
      </c>
      <c r="J178" s="6">
        <v>1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f>IF(O178&gt;0,1,0)</f>
        <v>0</v>
      </c>
      <c r="Q178" s="6">
        <v>0</v>
      </c>
      <c r="S178" s="6">
        <v>58.2</v>
      </c>
      <c r="T178" s="6">
        <f>IF(S178="",MEDIAN($S$2:$S$1409),S178)</f>
        <v>58.2</v>
      </c>
    </row>
    <row r="179" spans="1:20" ht="15" customHeight="1">
      <c r="A179" s="6" t="s">
        <v>213</v>
      </c>
      <c r="B179" s="7">
        <v>45753</v>
      </c>
      <c r="C179" s="6" t="s">
        <v>21</v>
      </c>
      <c r="D179" s="6" t="s">
        <v>22</v>
      </c>
      <c r="E179" s="6" t="s">
        <v>28</v>
      </c>
      <c r="F179" s="6" t="str">
        <f>IF(E179="","Unknown",E179)</f>
        <v>Mobile</v>
      </c>
      <c r="G179" s="6" t="s">
        <v>29</v>
      </c>
      <c r="H179" s="6" t="str">
        <f>IF(G179="","Unknown",G179)</f>
        <v>Organic</v>
      </c>
      <c r="I179" s="6" t="s">
        <v>30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f>IF(O179&gt;0,1,0)</f>
        <v>0</v>
      </c>
      <c r="Q179" s="6">
        <v>0</v>
      </c>
      <c r="S179" s="6">
        <v>80.599999999999994</v>
      </c>
      <c r="T179" s="6">
        <f>IF(S179="",MEDIAN($S$2:$S$1409),S179)</f>
        <v>80.599999999999994</v>
      </c>
    </row>
    <row r="180" spans="1:20" ht="15" customHeight="1">
      <c r="A180" s="6" t="s">
        <v>214</v>
      </c>
      <c r="B180" s="7">
        <v>45764</v>
      </c>
      <c r="C180" s="6" t="s">
        <v>21</v>
      </c>
      <c r="D180" s="6" t="s">
        <v>22</v>
      </c>
      <c r="E180" s="6" t="s">
        <v>23</v>
      </c>
      <c r="F180" s="6" t="str">
        <f>IF(E180="","Unknown",E180)</f>
        <v>Desktop</v>
      </c>
      <c r="G180" s="6" t="s">
        <v>43</v>
      </c>
      <c r="H180" s="6" t="str">
        <f>IF(G180="","Unknown",G180)</f>
        <v>Referral</v>
      </c>
      <c r="I180" s="6" t="s">
        <v>34</v>
      </c>
      <c r="J180" s="6">
        <v>1</v>
      </c>
      <c r="K180" s="6">
        <v>1</v>
      </c>
      <c r="L180" s="6">
        <v>1</v>
      </c>
      <c r="M180" s="6">
        <v>0</v>
      </c>
      <c r="N180" s="6">
        <v>0</v>
      </c>
      <c r="O180" s="6">
        <v>0</v>
      </c>
      <c r="P180" s="6">
        <f>IF(O180&gt;0,1,0)</f>
        <v>0</v>
      </c>
      <c r="Q180" s="6">
        <v>0</v>
      </c>
      <c r="S180" s="6">
        <v>38.4</v>
      </c>
      <c r="T180" s="6">
        <f>IF(S180="",MEDIAN($S$2:$S$1409),S180)</f>
        <v>38.4</v>
      </c>
    </row>
    <row r="181" spans="1:20" ht="15" customHeight="1">
      <c r="A181" s="6" t="s">
        <v>215</v>
      </c>
      <c r="B181" s="7">
        <v>45750</v>
      </c>
      <c r="C181" s="6" t="s">
        <v>21</v>
      </c>
      <c r="D181" s="6" t="s">
        <v>36</v>
      </c>
      <c r="E181" s="6" t="s">
        <v>28</v>
      </c>
      <c r="F181" s="6" t="str">
        <f>IF(E181="","Unknown",E181)</f>
        <v>Mobile</v>
      </c>
      <c r="G181" s="6" t="s">
        <v>33</v>
      </c>
      <c r="H181" s="6" t="str">
        <f>IF(G181="","Unknown",G181)</f>
        <v>Paid Search</v>
      </c>
      <c r="I181" s="6" t="s">
        <v>30</v>
      </c>
      <c r="J181" s="6">
        <v>1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f>IF(O181&gt;0,1,0)</f>
        <v>0</v>
      </c>
      <c r="Q181" s="6">
        <v>0</v>
      </c>
      <c r="S181" s="6">
        <v>56.1</v>
      </c>
      <c r="T181" s="6">
        <f>IF(S181="",MEDIAN($S$2:$S$1409),S181)</f>
        <v>56.1</v>
      </c>
    </row>
    <row r="182" spans="1:20" ht="15" customHeight="1">
      <c r="A182" s="6" t="s">
        <v>216</v>
      </c>
      <c r="B182" s="7">
        <v>45772</v>
      </c>
      <c r="C182" s="6" t="s">
        <v>21</v>
      </c>
      <c r="D182" s="6" t="s">
        <v>27</v>
      </c>
      <c r="E182" s="6" t="s">
        <v>28</v>
      </c>
      <c r="F182" s="6" t="str">
        <f>IF(E182="","Unknown",E182)</f>
        <v>Mobile</v>
      </c>
      <c r="G182" s="6" t="s">
        <v>33</v>
      </c>
      <c r="H182" s="6" t="str">
        <f>IF(G182="","Unknown",G182)</f>
        <v>Paid Search</v>
      </c>
      <c r="I182" s="6" t="s">
        <v>30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f>IF(O182&gt;0,1,0)</f>
        <v>0</v>
      </c>
      <c r="Q182" s="6">
        <v>0</v>
      </c>
      <c r="S182" s="6">
        <v>62.6</v>
      </c>
      <c r="T182" s="6">
        <f>IF(S182="",MEDIAN($S$2:$S$1409),S182)</f>
        <v>62.6</v>
      </c>
    </row>
    <row r="183" spans="1:20" ht="15" customHeight="1">
      <c r="A183" s="6" t="s">
        <v>217</v>
      </c>
      <c r="B183" s="7">
        <v>45777</v>
      </c>
      <c r="C183" s="6" t="s">
        <v>21</v>
      </c>
      <c r="D183" s="6" t="s">
        <v>36</v>
      </c>
      <c r="E183" s="6" t="s">
        <v>28</v>
      </c>
      <c r="F183" s="6" t="str">
        <f>IF(E183="","Unknown",E183)</f>
        <v>Mobile</v>
      </c>
      <c r="G183" s="6" t="s">
        <v>29</v>
      </c>
      <c r="H183" s="6" t="str">
        <f>IF(G183="","Unknown",G183)</f>
        <v>Organic</v>
      </c>
      <c r="I183" s="6" t="s">
        <v>34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f>IF(O183&gt;0,1,0)</f>
        <v>0</v>
      </c>
      <c r="Q183" s="6">
        <v>0</v>
      </c>
      <c r="S183" s="6">
        <v>36.299999999999997</v>
      </c>
      <c r="T183" s="6">
        <f>IF(S183="",MEDIAN($S$2:$S$1409),S183)</f>
        <v>36.299999999999997</v>
      </c>
    </row>
    <row r="184" spans="1:20" ht="15" customHeight="1">
      <c r="A184" s="6" t="s">
        <v>218</v>
      </c>
      <c r="B184" s="7">
        <v>45728</v>
      </c>
      <c r="C184" s="6" t="s">
        <v>21</v>
      </c>
      <c r="D184" s="6" t="s">
        <v>36</v>
      </c>
      <c r="E184" s="6" t="s">
        <v>28</v>
      </c>
      <c r="F184" s="6" t="str">
        <f>IF(E184="","Unknown",E184)</f>
        <v>Mobile</v>
      </c>
      <c r="G184" s="6" t="s">
        <v>33</v>
      </c>
      <c r="H184" s="6" t="str">
        <f>IF(G184="","Unknown",G184)</f>
        <v>Paid Search</v>
      </c>
      <c r="I184" s="6" t="s">
        <v>30</v>
      </c>
      <c r="J184" s="6">
        <v>1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f>IF(O184&gt;0,1,0)</f>
        <v>0</v>
      </c>
      <c r="Q184" s="6">
        <v>0</v>
      </c>
      <c r="S184" s="6">
        <v>52.1</v>
      </c>
      <c r="T184" s="6">
        <f>IF(S184="",MEDIAN($S$2:$S$1409),S184)</f>
        <v>52.1</v>
      </c>
    </row>
    <row r="185" spans="1:20" ht="15" customHeight="1">
      <c r="A185" s="6" t="s">
        <v>219</v>
      </c>
      <c r="B185" s="7">
        <v>45781</v>
      </c>
      <c r="C185" s="6" t="s">
        <v>21</v>
      </c>
      <c r="D185" s="6" t="s">
        <v>36</v>
      </c>
      <c r="E185" s="6" t="s">
        <v>28</v>
      </c>
      <c r="F185" s="6" t="str">
        <f>IF(E185="","Unknown",E185)</f>
        <v>Mobile</v>
      </c>
      <c r="G185" s="6" t="s">
        <v>29</v>
      </c>
      <c r="H185" s="6" t="str">
        <f>IF(G185="","Unknown",G185)</f>
        <v>Organic</v>
      </c>
      <c r="I185" s="6" t="s">
        <v>30</v>
      </c>
      <c r="J185" s="6">
        <v>1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f>IF(O185&gt;0,1,0)</f>
        <v>0</v>
      </c>
      <c r="Q185" s="6">
        <v>0</v>
      </c>
      <c r="S185" s="6">
        <v>45.1</v>
      </c>
      <c r="T185" s="6">
        <f>IF(S185="",MEDIAN($S$2:$S$1409),S185)</f>
        <v>45.1</v>
      </c>
    </row>
    <row r="186" spans="1:20" ht="15" customHeight="1">
      <c r="A186" s="6" t="s">
        <v>220</v>
      </c>
      <c r="B186" s="7">
        <v>45695</v>
      </c>
      <c r="C186" s="6" t="s">
        <v>21</v>
      </c>
      <c r="D186" s="6" t="s">
        <v>36</v>
      </c>
      <c r="E186" s="6" t="s">
        <v>38</v>
      </c>
      <c r="F186" s="6" t="str">
        <f>IF(E186="","Unknown",E186)</f>
        <v>Tablet</v>
      </c>
      <c r="G186" s="6" t="s">
        <v>33</v>
      </c>
      <c r="H186" s="6" t="str">
        <f>IF(G186="","Unknown",G186)</f>
        <v>Paid Search</v>
      </c>
      <c r="I186" s="6" t="s">
        <v>34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f>IF(O186&gt;0,1,0)</f>
        <v>0</v>
      </c>
      <c r="Q186" s="6">
        <v>0</v>
      </c>
      <c r="S186" s="6">
        <v>67.5</v>
      </c>
      <c r="T186" s="6">
        <f>IF(S186="",MEDIAN($S$2:$S$1409),S186)</f>
        <v>67.5</v>
      </c>
    </row>
    <row r="187" spans="1:20" ht="15" customHeight="1">
      <c r="A187" s="6" t="s">
        <v>221</v>
      </c>
      <c r="B187" s="7">
        <v>45775</v>
      </c>
      <c r="C187" s="6" t="s">
        <v>21</v>
      </c>
      <c r="D187" s="6" t="s">
        <v>32</v>
      </c>
      <c r="E187" s="6" t="s">
        <v>38</v>
      </c>
      <c r="F187" s="6" t="str">
        <f>IF(E187="","Unknown",E187)</f>
        <v>Tablet</v>
      </c>
      <c r="G187" s="6" t="s">
        <v>24</v>
      </c>
      <c r="H187" s="6" t="str">
        <f>IF(G187="","Unknown",G187)</f>
        <v>Email</v>
      </c>
      <c r="I187" s="6" t="s">
        <v>25</v>
      </c>
      <c r="J187" s="6">
        <v>1</v>
      </c>
      <c r="K187" s="6">
        <v>1</v>
      </c>
      <c r="L187" s="6">
        <v>1</v>
      </c>
      <c r="M187" s="6">
        <v>0</v>
      </c>
      <c r="N187" s="6">
        <v>0</v>
      </c>
      <c r="O187" s="6">
        <v>0</v>
      </c>
      <c r="P187" s="6">
        <f>IF(O187&gt;0,1,0)</f>
        <v>0</v>
      </c>
      <c r="Q187" s="6">
        <v>0</v>
      </c>
      <c r="S187" s="6">
        <v>80</v>
      </c>
      <c r="T187" s="6">
        <f>IF(S187="",MEDIAN($S$2:$S$1409),S187)</f>
        <v>80</v>
      </c>
    </row>
    <row r="188" spans="1:20" ht="15" customHeight="1">
      <c r="A188" s="6" t="s">
        <v>222</v>
      </c>
      <c r="B188" s="7">
        <v>45792</v>
      </c>
      <c r="C188" s="6" t="s">
        <v>21</v>
      </c>
      <c r="D188" s="6" t="s">
        <v>32</v>
      </c>
      <c r="E188" s="6" t="s">
        <v>23</v>
      </c>
      <c r="F188" s="6" t="str">
        <f>IF(E188="","Unknown",E188)</f>
        <v>Desktop</v>
      </c>
      <c r="G188" s="6" t="s">
        <v>43</v>
      </c>
      <c r="H188" s="6" t="str">
        <f>IF(G188="","Unknown",G188)</f>
        <v>Referral</v>
      </c>
      <c r="I188" s="6" t="s">
        <v>30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f>IF(O188&gt;0,1,0)</f>
        <v>0</v>
      </c>
      <c r="Q188" s="6">
        <v>0</v>
      </c>
      <c r="S188" s="6">
        <v>56.4</v>
      </c>
      <c r="T188" s="6">
        <f>IF(S188="",MEDIAN($S$2:$S$1409),S188)</f>
        <v>56.4</v>
      </c>
    </row>
    <row r="189" spans="1:20" ht="15" customHeight="1">
      <c r="A189" s="6" t="s">
        <v>223</v>
      </c>
      <c r="B189" s="7">
        <v>45675</v>
      </c>
      <c r="C189" s="6" t="s">
        <v>21</v>
      </c>
      <c r="D189" s="6" t="s">
        <v>27</v>
      </c>
      <c r="E189" s="6" t="s">
        <v>28</v>
      </c>
      <c r="F189" s="6" t="str">
        <f>IF(E189="","Unknown",E189)</f>
        <v>Mobile</v>
      </c>
      <c r="G189" s="6" t="s">
        <v>33</v>
      </c>
      <c r="H189" s="6" t="str">
        <f>IF(G189="","Unknown",G189)</f>
        <v>Paid Search</v>
      </c>
      <c r="I189" s="6" t="s">
        <v>25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f>IF(O189&gt;0,1,0)</f>
        <v>0</v>
      </c>
      <c r="Q189" s="6">
        <v>0</v>
      </c>
      <c r="S189" s="6">
        <v>55.4</v>
      </c>
      <c r="T189" s="6">
        <f>IF(S189="",MEDIAN($S$2:$S$1409),S189)</f>
        <v>55.4</v>
      </c>
    </row>
    <row r="190" spans="1:20" ht="15" customHeight="1">
      <c r="A190" s="6" t="s">
        <v>224</v>
      </c>
      <c r="B190" s="7">
        <v>45703</v>
      </c>
      <c r="C190" s="6" t="s">
        <v>21</v>
      </c>
      <c r="D190" s="6" t="s">
        <v>36</v>
      </c>
      <c r="E190" s="6" t="s">
        <v>28</v>
      </c>
      <c r="F190" s="6" t="str">
        <f>IF(E190="","Unknown",E190)</f>
        <v>Mobile</v>
      </c>
      <c r="G190" s="6" t="s">
        <v>45</v>
      </c>
      <c r="H190" s="6" t="str">
        <f>IF(G190="","Unknown",G190)</f>
        <v>Social</v>
      </c>
      <c r="I190" s="6" t="s">
        <v>25</v>
      </c>
      <c r="J190" s="6">
        <v>1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f>IF(O190&gt;0,1,0)</f>
        <v>0</v>
      </c>
      <c r="Q190" s="6">
        <v>0</v>
      </c>
      <c r="S190" s="6">
        <v>67.900000000000006</v>
      </c>
      <c r="T190" s="6">
        <f>IF(S190="",MEDIAN($S$2:$S$1409),S190)</f>
        <v>67.900000000000006</v>
      </c>
    </row>
    <row r="191" spans="1:20" ht="15" customHeight="1">
      <c r="A191" s="6" t="s">
        <v>225</v>
      </c>
      <c r="B191" s="7">
        <v>45706</v>
      </c>
      <c r="C191" s="6" t="s">
        <v>21</v>
      </c>
      <c r="D191" s="6" t="s">
        <v>22</v>
      </c>
      <c r="E191" s="6" t="s">
        <v>38</v>
      </c>
      <c r="F191" s="6" t="str">
        <f>IF(E191="","Unknown",E191)</f>
        <v>Tablet</v>
      </c>
      <c r="G191" s="6" t="s">
        <v>24</v>
      </c>
      <c r="H191" s="6" t="str">
        <f>IF(G191="","Unknown",G191)</f>
        <v>Email</v>
      </c>
      <c r="I191" s="6" t="s">
        <v>30</v>
      </c>
      <c r="J191" s="6">
        <v>1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f>IF(O191&gt;0,1,0)</f>
        <v>0</v>
      </c>
      <c r="Q191" s="6">
        <v>0</v>
      </c>
      <c r="S191" s="6">
        <v>62.5</v>
      </c>
      <c r="T191" s="6">
        <f>IF(S191="",MEDIAN($S$2:$S$1409),S191)</f>
        <v>62.5</v>
      </c>
    </row>
    <row r="192" spans="1:20" ht="15" customHeight="1">
      <c r="A192" s="6" t="s">
        <v>226</v>
      </c>
      <c r="B192" s="7">
        <v>45687</v>
      </c>
      <c r="C192" s="6" t="s">
        <v>21</v>
      </c>
      <c r="D192" s="6" t="s">
        <v>36</v>
      </c>
      <c r="E192" s="6" t="s">
        <v>23</v>
      </c>
      <c r="F192" s="6" t="str">
        <f>IF(E192="","Unknown",E192)</f>
        <v>Desktop</v>
      </c>
      <c r="G192" s="6" t="s">
        <v>24</v>
      </c>
      <c r="H192" s="6" t="str">
        <f>IF(G192="","Unknown",G192)</f>
        <v>Email</v>
      </c>
      <c r="I192" s="6" t="s">
        <v>25</v>
      </c>
      <c r="J192" s="6">
        <v>1</v>
      </c>
      <c r="K192" s="6">
        <v>1</v>
      </c>
      <c r="L192" s="6">
        <v>1</v>
      </c>
      <c r="M192" s="6">
        <v>0</v>
      </c>
      <c r="N192" s="6">
        <v>0</v>
      </c>
      <c r="O192" s="6">
        <v>0</v>
      </c>
      <c r="P192" s="6">
        <f>IF(O192&gt;0,1,0)</f>
        <v>0</v>
      </c>
      <c r="Q192" s="6">
        <v>0</v>
      </c>
      <c r="S192" s="6">
        <v>54.3</v>
      </c>
      <c r="T192" s="6">
        <f>IF(S192="",MEDIAN($S$2:$S$1409),S192)</f>
        <v>54.3</v>
      </c>
    </row>
    <row r="193" spans="1:20" ht="15" customHeight="1">
      <c r="A193" s="6" t="s">
        <v>227</v>
      </c>
      <c r="B193" s="7">
        <v>45697</v>
      </c>
      <c r="C193" s="6" t="s">
        <v>21</v>
      </c>
      <c r="D193" s="6" t="s">
        <v>36</v>
      </c>
      <c r="E193" s="6" t="s">
        <v>23</v>
      </c>
      <c r="F193" s="6" t="str">
        <f>IF(E193="","Unknown",E193)</f>
        <v>Desktop</v>
      </c>
      <c r="G193" s="6" t="s">
        <v>29</v>
      </c>
      <c r="H193" s="6" t="str">
        <f>IF(G193="","Unknown",G193)</f>
        <v>Organic</v>
      </c>
      <c r="I193" s="6" t="s">
        <v>25</v>
      </c>
      <c r="J193" s="6">
        <v>1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f>IF(O193&gt;0,1,0)</f>
        <v>0</v>
      </c>
      <c r="Q193" s="6">
        <v>0</v>
      </c>
      <c r="S193" s="6">
        <v>37.5</v>
      </c>
      <c r="T193" s="6">
        <f>IF(S193="",MEDIAN($S$2:$S$1409),S193)</f>
        <v>37.5</v>
      </c>
    </row>
    <row r="194" spans="1:20" ht="15" customHeight="1">
      <c r="A194" s="6" t="s">
        <v>228</v>
      </c>
      <c r="B194" s="7">
        <v>45732</v>
      </c>
      <c r="C194" s="6" t="s">
        <v>21</v>
      </c>
      <c r="D194" s="6" t="s">
        <v>27</v>
      </c>
      <c r="E194" s="6" t="s">
        <v>28</v>
      </c>
      <c r="F194" s="6" t="str">
        <f>IF(E194="","Unknown",E194)</f>
        <v>Mobile</v>
      </c>
      <c r="G194" s="6" t="s">
        <v>33</v>
      </c>
      <c r="H194" s="6" t="str">
        <f>IF(G194="","Unknown",G194)</f>
        <v>Paid Search</v>
      </c>
      <c r="I194" s="6" t="s">
        <v>25</v>
      </c>
      <c r="J194" s="6">
        <v>1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f>IF(O194&gt;0,1,0)</f>
        <v>0</v>
      </c>
      <c r="Q194" s="6">
        <v>0</v>
      </c>
      <c r="S194" s="6">
        <v>52.6</v>
      </c>
      <c r="T194" s="6">
        <f>IF(S194="",MEDIAN($S$2:$S$1409),S194)</f>
        <v>52.6</v>
      </c>
    </row>
    <row r="195" spans="1:20" ht="15" customHeight="1">
      <c r="A195" s="6" t="s">
        <v>229</v>
      </c>
      <c r="B195" s="7">
        <v>45796</v>
      </c>
      <c r="C195" s="6" t="s">
        <v>21</v>
      </c>
      <c r="D195" s="6" t="s">
        <v>22</v>
      </c>
      <c r="E195" s="6" t="s">
        <v>28</v>
      </c>
      <c r="F195" s="6" t="str">
        <f>IF(E195="","Unknown",E195)</f>
        <v>Mobile</v>
      </c>
      <c r="G195" s="6" t="s">
        <v>33</v>
      </c>
      <c r="H195" s="6" t="str">
        <f>IF(G195="","Unknown",G195)</f>
        <v>Paid Search</v>
      </c>
      <c r="I195" s="6" t="s">
        <v>30</v>
      </c>
      <c r="J195" s="6">
        <v>1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f>IF(O195&gt;0,1,0)</f>
        <v>0</v>
      </c>
      <c r="Q195" s="6">
        <v>0</v>
      </c>
      <c r="S195" s="6">
        <v>46.1</v>
      </c>
      <c r="T195" s="6">
        <f>IF(S195="",MEDIAN($S$2:$S$1409),S195)</f>
        <v>46.1</v>
      </c>
    </row>
    <row r="196" spans="1:20" ht="15" customHeight="1">
      <c r="A196" s="6" t="s">
        <v>230</v>
      </c>
      <c r="B196" s="7">
        <v>45793</v>
      </c>
      <c r="C196" s="6" t="s">
        <v>21</v>
      </c>
      <c r="D196" s="6" t="s">
        <v>36</v>
      </c>
      <c r="E196" s="6" t="s">
        <v>23</v>
      </c>
      <c r="F196" s="6" t="str">
        <f>IF(E196="","Unknown",E196)</f>
        <v>Desktop</v>
      </c>
      <c r="G196" s="6" t="s">
        <v>29</v>
      </c>
      <c r="H196" s="6" t="str">
        <f>IF(G196="","Unknown",G196)</f>
        <v>Organic</v>
      </c>
      <c r="I196" s="6" t="s">
        <v>25</v>
      </c>
      <c r="J196" s="6">
        <v>1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f>IF(O196&gt;0,1,0)</f>
        <v>0</v>
      </c>
      <c r="Q196" s="6">
        <v>0</v>
      </c>
      <c r="S196" s="6">
        <v>54.7</v>
      </c>
      <c r="T196" s="6">
        <f>IF(S196="",MEDIAN($S$2:$S$1409),S196)</f>
        <v>54.7</v>
      </c>
    </row>
    <row r="197" spans="1:20" ht="15" customHeight="1">
      <c r="A197" s="6" t="s">
        <v>231</v>
      </c>
      <c r="B197" s="7">
        <v>45772</v>
      </c>
      <c r="C197" s="6" t="s">
        <v>21</v>
      </c>
      <c r="D197" s="6" t="s">
        <v>27</v>
      </c>
      <c r="E197" s="6" t="s">
        <v>23</v>
      </c>
      <c r="F197" s="6" t="str">
        <f>IF(E197="","Unknown",E197)</f>
        <v>Desktop</v>
      </c>
      <c r="G197" s="6" t="s">
        <v>43</v>
      </c>
      <c r="H197" s="6" t="str">
        <f>IF(G197="","Unknown",G197)</f>
        <v>Referral</v>
      </c>
      <c r="I197" s="6" t="s">
        <v>25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f>IF(O197&gt;0,1,0)</f>
        <v>0</v>
      </c>
      <c r="Q197" s="6">
        <v>0</v>
      </c>
      <c r="S197" s="6">
        <v>74.2</v>
      </c>
      <c r="T197" s="6">
        <f>IF(S197="",MEDIAN($S$2:$S$1409),S197)</f>
        <v>74.2</v>
      </c>
    </row>
    <row r="198" spans="1:20" ht="15" customHeight="1">
      <c r="A198" s="6" t="s">
        <v>232</v>
      </c>
      <c r="B198" s="7">
        <v>45715</v>
      </c>
      <c r="C198" s="6" t="s">
        <v>21</v>
      </c>
      <c r="D198" s="6" t="s">
        <v>22</v>
      </c>
      <c r="E198" s="6" t="s">
        <v>28</v>
      </c>
      <c r="F198" s="6" t="str">
        <f>IF(E198="","Unknown",E198)</f>
        <v>Mobile</v>
      </c>
      <c r="G198" s="6" t="s">
        <v>45</v>
      </c>
      <c r="H198" s="6" t="str">
        <f>IF(G198="","Unknown",G198)</f>
        <v>Social</v>
      </c>
      <c r="I198" s="6" t="s">
        <v>25</v>
      </c>
      <c r="J198" s="6">
        <v>1</v>
      </c>
      <c r="K198" s="6">
        <v>1</v>
      </c>
      <c r="L198" s="6">
        <v>1</v>
      </c>
      <c r="M198" s="6">
        <v>1</v>
      </c>
      <c r="N198" s="6">
        <v>1052.8</v>
      </c>
      <c r="O198" s="6">
        <v>2</v>
      </c>
      <c r="P198" s="6">
        <f>IF(O198&gt;0,1,0)</f>
        <v>1</v>
      </c>
      <c r="Q198" s="6">
        <v>0</v>
      </c>
      <c r="R198" s="6">
        <v>6</v>
      </c>
      <c r="S198" s="6">
        <v>64.7</v>
      </c>
      <c r="T198" s="6">
        <f>IF(S198="",MEDIAN($S$2:$S$1409),S198)</f>
        <v>64.7</v>
      </c>
    </row>
    <row r="199" spans="1:20" ht="15" customHeight="1">
      <c r="A199" s="6" t="s">
        <v>233</v>
      </c>
      <c r="B199" s="7">
        <v>45773</v>
      </c>
      <c r="C199" s="6" t="s">
        <v>21</v>
      </c>
      <c r="D199" s="6" t="s">
        <v>36</v>
      </c>
      <c r="E199" s="6" t="s">
        <v>28</v>
      </c>
      <c r="F199" s="6" t="str">
        <f>IF(E199="","Unknown",E199)</f>
        <v>Mobile</v>
      </c>
      <c r="G199" s="6" t="s">
        <v>33</v>
      </c>
      <c r="H199" s="6" t="str">
        <f>IF(G199="","Unknown",G199)</f>
        <v>Paid Search</v>
      </c>
      <c r="I199" s="6" t="s">
        <v>25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f>IF(O199&gt;0,1,0)</f>
        <v>0</v>
      </c>
      <c r="Q199" s="6">
        <v>0</v>
      </c>
      <c r="S199" s="6">
        <v>65.900000000000006</v>
      </c>
      <c r="T199" s="6">
        <f>IF(S199="",MEDIAN($S$2:$S$1409),S199)</f>
        <v>65.900000000000006</v>
      </c>
    </row>
    <row r="200" spans="1:20" ht="15" customHeight="1">
      <c r="A200" s="6" t="s">
        <v>234</v>
      </c>
      <c r="B200" s="7">
        <v>45791</v>
      </c>
      <c r="C200" s="6" t="s">
        <v>21</v>
      </c>
      <c r="D200" s="6" t="s">
        <v>22</v>
      </c>
      <c r="E200" s="6" t="s">
        <v>28</v>
      </c>
      <c r="F200" s="6" t="str">
        <f>IF(E200="","Unknown",E200)</f>
        <v>Mobile</v>
      </c>
      <c r="G200" s="6" t="s">
        <v>29</v>
      </c>
      <c r="H200" s="6" t="str">
        <f>IF(G200="","Unknown",G200)</f>
        <v>Organic</v>
      </c>
      <c r="I200" s="6" t="s">
        <v>25</v>
      </c>
      <c r="J200" s="6">
        <v>1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f>IF(O200&gt;0,1,0)</f>
        <v>0</v>
      </c>
      <c r="Q200" s="6">
        <v>0</v>
      </c>
      <c r="S200" s="6">
        <v>64</v>
      </c>
      <c r="T200" s="6">
        <f>IF(S200="",MEDIAN($S$2:$S$1409),S200)</f>
        <v>64</v>
      </c>
    </row>
    <row r="201" spans="1:20" ht="15" customHeight="1">
      <c r="A201" s="6" t="s">
        <v>235</v>
      </c>
      <c r="B201" s="7">
        <v>45721</v>
      </c>
      <c r="C201" s="6" t="s">
        <v>21</v>
      </c>
      <c r="D201" s="6" t="s">
        <v>22</v>
      </c>
      <c r="E201" s="6" t="s">
        <v>28</v>
      </c>
      <c r="F201" s="6" t="str">
        <f>IF(E201="","Unknown",E201)</f>
        <v>Mobile</v>
      </c>
      <c r="G201" s="6" t="s">
        <v>29</v>
      </c>
      <c r="H201" s="6" t="str">
        <f>IF(G201="","Unknown",G201)</f>
        <v>Organic</v>
      </c>
      <c r="I201" s="6" t="s">
        <v>34</v>
      </c>
      <c r="J201" s="6">
        <v>1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f>IF(O201&gt;0,1,0)</f>
        <v>0</v>
      </c>
      <c r="Q201" s="6">
        <v>0</v>
      </c>
      <c r="S201" s="6">
        <v>57.2</v>
      </c>
      <c r="T201" s="6">
        <f>IF(S201="",MEDIAN($S$2:$S$1409),S201)</f>
        <v>57.2</v>
      </c>
    </row>
    <row r="202" spans="1:20" ht="15" customHeight="1">
      <c r="A202" s="6" t="s">
        <v>236</v>
      </c>
      <c r="B202" s="7">
        <v>45749</v>
      </c>
      <c r="C202" s="6" t="s">
        <v>21</v>
      </c>
      <c r="D202" s="6" t="s">
        <v>27</v>
      </c>
      <c r="E202" s="6" t="s">
        <v>23</v>
      </c>
      <c r="F202" s="6" t="str">
        <f>IF(E202="","Unknown",E202)</f>
        <v>Desktop</v>
      </c>
      <c r="G202" s="6" t="s">
        <v>29</v>
      </c>
      <c r="H202" s="6" t="str">
        <f>IF(G202="","Unknown",G202)</f>
        <v>Organic</v>
      </c>
      <c r="I202" s="6" t="s">
        <v>30</v>
      </c>
      <c r="J202" s="6">
        <v>1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f>IF(O202&gt;0,1,0)</f>
        <v>0</v>
      </c>
      <c r="Q202" s="6">
        <v>0</v>
      </c>
      <c r="S202" s="6">
        <v>80.5</v>
      </c>
      <c r="T202" s="6">
        <f>IF(S202="",MEDIAN($S$2:$S$1409),S202)</f>
        <v>80.5</v>
      </c>
    </row>
    <row r="203" spans="1:20" ht="15" customHeight="1">
      <c r="A203" s="6" t="s">
        <v>237</v>
      </c>
      <c r="B203" s="7">
        <v>45791</v>
      </c>
      <c r="C203" s="6" t="s">
        <v>21</v>
      </c>
      <c r="D203" s="6" t="s">
        <v>36</v>
      </c>
      <c r="E203" s="6" t="s">
        <v>38</v>
      </c>
      <c r="F203" s="6" t="str">
        <f>IF(E203="","Unknown",E203)</f>
        <v>Tablet</v>
      </c>
      <c r="G203" s="6" t="s">
        <v>29</v>
      </c>
      <c r="H203" s="6" t="str">
        <f>IF(G203="","Unknown",G203)</f>
        <v>Organic</v>
      </c>
      <c r="I203" s="6" t="s">
        <v>30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f>IF(O203&gt;0,1,0)</f>
        <v>0</v>
      </c>
      <c r="Q203" s="6">
        <v>0</v>
      </c>
      <c r="S203" s="6">
        <v>53.9</v>
      </c>
      <c r="T203" s="6">
        <f>IF(S203="",MEDIAN($S$2:$S$1409),S203)</f>
        <v>53.9</v>
      </c>
    </row>
    <row r="204" spans="1:20" ht="15" customHeight="1">
      <c r="A204" s="6" t="s">
        <v>238</v>
      </c>
      <c r="B204" s="7">
        <v>45798</v>
      </c>
      <c r="C204" s="6" t="s">
        <v>21</v>
      </c>
      <c r="D204" s="6" t="s">
        <v>22</v>
      </c>
      <c r="E204" s="6" t="s">
        <v>28</v>
      </c>
      <c r="F204" s="6" t="str">
        <f>IF(E204="","Unknown",E204)</f>
        <v>Mobile</v>
      </c>
      <c r="G204" s="6" t="s">
        <v>33</v>
      </c>
      <c r="H204" s="6" t="str">
        <f>IF(G204="","Unknown",G204)</f>
        <v>Paid Search</v>
      </c>
      <c r="I204" s="6" t="s">
        <v>30</v>
      </c>
      <c r="J204" s="6">
        <v>1</v>
      </c>
      <c r="K204" s="6">
        <v>1</v>
      </c>
      <c r="L204" s="6">
        <v>0</v>
      </c>
      <c r="M204" s="6">
        <v>0</v>
      </c>
      <c r="N204" s="6">
        <v>0</v>
      </c>
      <c r="O204" s="6">
        <v>0</v>
      </c>
      <c r="P204" s="6">
        <f>IF(O204&gt;0,1,0)</f>
        <v>0</v>
      </c>
      <c r="Q204" s="6">
        <v>0</v>
      </c>
      <c r="S204" s="6">
        <v>77.5</v>
      </c>
      <c r="T204" s="6">
        <f>IF(S204="",MEDIAN($S$2:$S$1409),S204)</f>
        <v>77.5</v>
      </c>
    </row>
    <row r="205" spans="1:20" ht="15" customHeight="1">
      <c r="A205" s="6" t="s">
        <v>239</v>
      </c>
      <c r="B205" s="7">
        <v>45684</v>
      </c>
      <c r="C205" s="6" t="s">
        <v>21</v>
      </c>
      <c r="D205" s="6" t="s">
        <v>32</v>
      </c>
      <c r="E205" s="6" t="s">
        <v>28</v>
      </c>
      <c r="F205" s="6" t="str">
        <f>IF(E205="","Unknown",E205)</f>
        <v>Mobile</v>
      </c>
      <c r="G205" s="6" t="s">
        <v>45</v>
      </c>
      <c r="H205" s="6" t="str">
        <f>IF(G205="","Unknown",G205)</f>
        <v>Social</v>
      </c>
      <c r="I205" s="6" t="s">
        <v>25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f>IF(O205&gt;0,1,0)</f>
        <v>0</v>
      </c>
      <c r="Q205" s="6">
        <v>0</v>
      </c>
      <c r="S205" s="6">
        <v>84.2</v>
      </c>
      <c r="T205" s="6">
        <f>IF(S205="",MEDIAN($S$2:$S$1409),S205)</f>
        <v>84.2</v>
      </c>
    </row>
    <row r="206" spans="1:20" ht="15" customHeight="1">
      <c r="A206" s="6" t="s">
        <v>240</v>
      </c>
      <c r="B206" s="7">
        <v>45799</v>
      </c>
      <c r="C206" s="6" t="s">
        <v>21</v>
      </c>
      <c r="D206" s="6" t="s">
        <v>27</v>
      </c>
      <c r="E206" s="6" t="s">
        <v>23</v>
      </c>
      <c r="F206" s="6" t="str">
        <f>IF(E206="","Unknown",E206)</f>
        <v>Desktop</v>
      </c>
      <c r="G206" s="6" t="s">
        <v>29</v>
      </c>
      <c r="H206" s="6" t="str">
        <f>IF(G206="","Unknown",G206)</f>
        <v>Organic</v>
      </c>
      <c r="I206" s="6" t="s">
        <v>30</v>
      </c>
      <c r="J206" s="6">
        <v>1</v>
      </c>
      <c r="K206" s="6">
        <v>1</v>
      </c>
      <c r="L206" s="6">
        <v>0</v>
      </c>
      <c r="M206" s="6">
        <v>0</v>
      </c>
      <c r="N206" s="6">
        <v>0</v>
      </c>
      <c r="O206" s="6">
        <v>0</v>
      </c>
      <c r="P206" s="6">
        <f>IF(O206&gt;0,1,0)</f>
        <v>0</v>
      </c>
      <c r="Q206" s="6">
        <v>0</v>
      </c>
      <c r="S206" s="6">
        <v>54.9</v>
      </c>
      <c r="T206" s="6">
        <f>IF(S206="",MEDIAN($S$2:$S$1409),S206)</f>
        <v>54.9</v>
      </c>
    </row>
    <row r="207" spans="1:20" ht="15" customHeight="1">
      <c r="A207" s="6" t="s">
        <v>241</v>
      </c>
      <c r="B207" s="7">
        <v>45796</v>
      </c>
      <c r="C207" s="6" t="s">
        <v>21</v>
      </c>
      <c r="D207" s="6" t="s">
        <v>36</v>
      </c>
      <c r="E207" s="6" t="s">
        <v>28</v>
      </c>
      <c r="F207" s="6" t="str">
        <f>IF(E207="","Unknown",E207)</f>
        <v>Mobile</v>
      </c>
      <c r="G207" s="6" t="s">
        <v>33</v>
      </c>
      <c r="H207" s="6" t="str">
        <f>IF(G207="","Unknown",G207)</f>
        <v>Paid Search</v>
      </c>
      <c r="I207" s="6" t="s">
        <v>30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f>IF(O207&gt;0,1,0)</f>
        <v>0</v>
      </c>
      <c r="Q207" s="6">
        <v>0</v>
      </c>
      <c r="S207" s="6">
        <v>69.3</v>
      </c>
      <c r="T207" s="6">
        <f>IF(S207="",MEDIAN($S$2:$S$1409),S207)</f>
        <v>69.3</v>
      </c>
    </row>
    <row r="208" spans="1:20" ht="15" customHeight="1">
      <c r="A208" s="6" t="s">
        <v>242</v>
      </c>
      <c r="B208" s="7">
        <v>45671</v>
      </c>
      <c r="C208" s="6" t="s">
        <v>21</v>
      </c>
      <c r="D208" s="6" t="s">
        <v>36</v>
      </c>
      <c r="E208" s="6" t="s">
        <v>23</v>
      </c>
      <c r="F208" s="6" t="str">
        <f>IF(E208="","Unknown",E208)</f>
        <v>Desktop</v>
      </c>
      <c r="G208" s="6" t="s">
        <v>33</v>
      </c>
      <c r="H208" s="6" t="str">
        <f>IF(G208="","Unknown",G208)</f>
        <v>Paid Search</v>
      </c>
      <c r="I208" s="6" t="s">
        <v>30</v>
      </c>
      <c r="J208" s="6">
        <v>1</v>
      </c>
      <c r="K208" s="6">
        <v>0</v>
      </c>
      <c r="L208" s="6">
        <v>0</v>
      </c>
      <c r="M208" s="6">
        <v>0</v>
      </c>
      <c r="N208" s="6">
        <v>0</v>
      </c>
      <c r="O208" s="6">
        <v>2</v>
      </c>
      <c r="P208" s="6">
        <f>IF(O208&gt;0,1,0)</f>
        <v>1</v>
      </c>
      <c r="Q208" s="6">
        <v>0</v>
      </c>
      <c r="S208" s="6">
        <v>42.3</v>
      </c>
      <c r="T208" s="6">
        <f>IF(S208="",MEDIAN($S$2:$S$1409),S208)</f>
        <v>42.3</v>
      </c>
    </row>
    <row r="209" spans="1:20" ht="15" customHeight="1">
      <c r="A209" s="6" t="s">
        <v>243</v>
      </c>
      <c r="B209" s="7">
        <v>45678</v>
      </c>
      <c r="C209" s="6" t="s">
        <v>21</v>
      </c>
      <c r="D209" s="6" t="s">
        <v>22</v>
      </c>
      <c r="E209" s="6" t="s">
        <v>23</v>
      </c>
      <c r="F209" s="6" t="str">
        <f>IF(E209="","Unknown",E209)</f>
        <v>Desktop</v>
      </c>
      <c r="G209" s="6" t="s">
        <v>43</v>
      </c>
      <c r="H209" s="6" t="str">
        <f>IF(G209="","Unknown",G209)</f>
        <v>Referral</v>
      </c>
      <c r="I209" s="6" t="s">
        <v>34</v>
      </c>
      <c r="J209" s="6">
        <v>1</v>
      </c>
      <c r="K209" s="6">
        <v>0</v>
      </c>
      <c r="L209" s="6">
        <v>0</v>
      </c>
      <c r="M209" s="6">
        <v>0</v>
      </c>
      <c r="N209" s="6">
        <v>0</v>
      </c>
      <c r="O209" s="6">
        <v>1</v>
      </c>
      <c r="P209" s="6">
        <f>IF(O209&gt;0,1,0)</f>
        <v>1</v>
      </c>
      <c r="Q209" s="6">
        <v>0</v>
      </c>
      <c r="S209" s="6">
        <v>69.599999999999994</v>
      </c>
      <c r="T209" s="6">
        <f>IF(S209="",MEDIAN($S$2:$S$1409),S209)</f>
        <v>69.599999999999994</v>
      </c>
    </row>
    <row r="210" spans="1:20" ht="15" customHeight="1">
      <c r="A210" s="6" t="s">
        <v>244</v>
      </c>
      <c r="B210" s="7">
        <v>45793</v>
      </c>
      <c r="C210" s="6" t="s">
        <v>21</v>
      </c>
      <c r="D210" s="6" t="s">
        <v>32</v>
      </c>
      <c r="E210" s="6" t="s">
        <v>28</v>
      </c>
      <c r="F210" s="6" t="str">
        <f>IF(E210="","Unknown",E210)</f>
        <v>Mobile</v>
      </c>
      <c r="G210" s="6" t="s">
        <v>29</v>
      </c>
      <c r="H210" s="6" t="str">
        <f>IF(G210="","Unknown",G210)</f>
        <v>Organic</v>
      </c>
      <c r="I210" s="6" t="s">
        <v>30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f>IF(O210&gt;0,1,0)</f>
        <v>0</v>
      </c>
      <c r="Q210" s="6">
        <v>0</v>
      </c>
      <c r="S210" s="6">
        <v>40.700000000000003</v>
      </c>
      <c r="T210" s="6">
        <f>IF(S210="",MEDIAN($S$2:$S$1409),S210)</f>
        <v>40.700000000000003</v>
      </c>
    </row>
    <row r="211" spans="1:20" ht="15" customHeight="1">
      <c r="A211" s="6" t="s">
        <v>245</v>
      </c>
      <c r="B211" s="7">
        <v>45690</v>
      </c>
      <c r="C211" s="6" t="s">
        <v>21</v>
      </c>
      <c r="D211" s="6" t="s">
        <v>22</v>
      </c>
      <c r="E211" s="6" t="s">
        <v>28</v>
      </c>
      <c r="F211" s="6" t="str">
        <f>IF(E211="","Unknown",E211)</f>
        <v>Mobile</v>
      </c>
      <c r="G211" s="6" t="s">
        <v>24</v>
      </c>
      <c r="H211" s="6" t="str">
        <f>IF(G211="","Unknown",G211)</f>
        <v>Email</v>
      </c>
      <c r="I211" s="6" t="s">
        <v>30</v>
      </c>
      <c r="J211" s="6">
        <v>1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f>IF(O211&gt;0,1,0)</f>
        <v>0</v>
      </c>
      <c r="Q211" s="6">
        <v>0</v>
      </c>
      <c r="S211" s="6">
        <v>54</v>
      </c>
      <c r="T211" s="6">
        <f>IF(S211="",MEDIAN($S$2:$S$1409),S211)</f>
        <v>54</v>
      </c>
    </row>
    <row r="212" spans="1:20" ht="15" customHeight="1">
      <c r="A212" s="6" t="s">
        <v>246</v>
      </c>
      <c r="B212" s="7">
        <v>45739</v>
      </c>
      <c r="C212" s="6" t="s">
        <v>21</v>
      </c>
      <c r="D212" s="6" t="s">
        <v>32</v>
      </c>
      <c r="E212" s="6"/>
      <c r="F212" s="6" t="str">
        <f>IF(E212="","Unknown",E212)</f>
        <v>Unknown</v>
      </c>
      <c r="G212" s="6" t="s">
        <v>43</v>
      </c>
      <c r="H212" s="6" t="str">
        <f>IF(G212="","Unknown",G212)</f>
        <v>Referral</v>
      </c>
      <c r="I212" s="6" t="s">
        <v>30</v>
      </c>
      <c r="J212" s="6">
        <v>1</v>
      </c>
      <c r="K212" s="6">
        <v>1</v>
      </c>
      <c r="L212" s="6">
        <v>1</v>
      </c>
      <c r="M212" s="6">
        <v>1</v>
      </c>
      <c r="N212" s="6">
        <v>553.37</v>
      </c>
      <c r="O212" s="6">
        <v>0</v>
      </c>
      <c r="P212" s="6">
        <f>IF(O212&gt;0,1,0)</f>
        <v>0</v>
      </c>
      <c r="Q212" s="6">
        <v>0</v>
      </c>
      <c r="R212" s="6">
        <v>5</v>
      </c>
      <c r="S212" s="6">
        <v>46.3</v>
      </c>
      <c r="T212" s="6">
        <f>IF(S212="",MEDIAN($S$2:$S$1409),S212)</f>
        <v>46.3</v>
      </c>
    </row>
    <row r="213" spans="1:20" ht="15" customHeight="1">
      <c r="A213" s="6" t="s">
        <v>247</v>
      </c>
      <c r="B213" s="7">
        <v>45681</v>
      </c>
      <c r="C213" s="6" t="s">
        <v>21</v>
      </c>
      <c r="D213" s="6" t="s">
        <v>32</v>
      </c>
      <c r="E213" s="6" t="s">
        <v>28</v>
      </c>
      <c r="F213" s="6" t="str">
        <f>IF(E213="","Unknown",E213)</f>
        <v>Mobile</v>
      </c>
      <c r="G213" s="6" t="s">
        <v>29</v>
      </c>
      <c r="H213" s="6" t="str">
        <f>IF(G213="","Unknown",G213)</f>
        <v>Organic</v>
      </c>
      <c r="I213" s="6" t="s">
        <v>30</v>
      </c>
      <c r="J213" s="6">
        <v>1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f>IF(O213&gt;0,1,0)</f>
        <v>0</v>
      </c>
      <c r="Q213" s="6">
        <v>0</v>
      </c>
      <c r="S213" s="6">
        <v>64.2</v>
      </c>
      <c r="T213" s="6">
        <f>IF(S213="",MEDIAN($S$2:$S$1409),S213)</f>
        <v>64.2</v>
      </c>
    </row>
    <row r="214" spans="1:20" ht="15" customHeight="1">
      <c r="A214" s="6" t="s">
        <v>248</v>
      </c>
      <c r="B214" s="7">
        <v>45759</v>
      </c>
      <c r="C214" s="6" t="s">
        <v>21</v>
      </c>
      <c r="D214" s="6" t="s">
        <v>22</v>
      </c>
      <c r="E214" s="6" t="s">
        <v>23</v>
      </c>
      <c r="F214" s="6" t="str">
        <f>IF(E214="","Unknown",E214)</f>
        <v>Desktop</v>
      </c>
      <c r="G214" s="6" t="s">
        <v>29</v>
      </c>
      <c r="H214" s="6" t="str">
        <f>IF(G214="","Unknown",G214)</f>
        <v>Organic</v>
      </c>
      <c r="I214" s="6" t="s">
        <v>30</v>
      </c>
      <c r="J214" s="6">
        <v>1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f>IF(O214&gt;0,1,0)</f>
        <v>0</v>
      </c>
      <c r="Q214" s="6">
        <v>0</v>
      </c>
      <c r="S214" s="6">
        <v>75.2</v>
      </c>
      <c r="T214" s="6">
        <f>IF(S214="",MEDIAN($S$2:$S$1409),S214)</f>
        <v>75.2</v>
      </c>
    </row>
    <row r="215" spans="1:20" ht="15" customHeight="1">
      <c r="A215" s="6" t="s">
        <v>249</v>
      </c>
      <c r="B215" s="7">
        <v>45706</v>
      </c>
      <c r="C215" s="6" t="s">
        <v>21</v>
      </c>
      <c r="D215" s="6" t="s">
        <v>32</v>
      </c>
      <c r="E215" s="6" t="s">
        <v>23</v>
      </c>
      <c r="F215" s="6" t="str">
        <f>IF(E215="","Unknown",E215)</f>
        <v>Desktop</v>
      </c>
      <c r="G215" s="6" t="s">
        <v>33</v>
      </c>
      <c r="H215" s="6" t="str">
        <f>IF(G215="","Unknown",G215)</f>
        <v>Paid Search</v>
      </c>
      <c r="I215" s="6" t="s">
        <v>30</v>
      </c>
      <c r="J215" s="6">
        <v>1</v>
      </c>
      <c r="K215" s="6">
        <v>1</v>
      </c>
      <c r="L215" s="6">
        <v>0</v>
      </c>
      <c r="M215" s="6">
        <v>0</v>
      </c>
      <c r="N215" s="6">
        <v>0</v>
      </c>
      <c r="O215" s="6">
        <v>0</v>
      </c>
      <c r="P215" s="6">
        <f>IF(O215&gt;0,1,0)</f>
        <v>0</v>
      </c>
      <c r="Q215" s="6">
        <v>0</v>
      </c>
      <c r="S215" s="6">
        <v>60.9</v>
      </c>
      <c r="T215" s="6">
        <f>IF(S215="",MEDIAN($S$2:$S$1409),S215)</f>
        <v>60.9</v>
      </c>
    </row>
    <row r="216" spans="1:20" ht="15" customHeight="1">
      <c r="A216" s="6" t="s">
        <v>250</v>
      </c>
      <c r="B216" s="7">
        <v>45805</v>
      </c>
      <c r="C216" s="6" t="s">
        <v>21</v>
      </c>
      <c r="D216" s="6" t="s">
        <v>36</v>
      </c>
      <c r="E216" s="6" t="s">
        <v>28</v>
      </c>
      <c r="F216" s="6" t="str">
        <f>IF(E216="","Unknown",E216)</f>
        <v>Mobile</v>
      </c>
      <c r="G216" s="6" t="s">
        <v>24</v>
      </c>
      <c r="H216" s="6" t="str">
        <f>IF(G216="","Unknown",G216)</f>
        <v>Email</v>
      </c>
      <c r="I216" s="6" t="s">
        <v>25</v>
      </c>
      <c r="J216" s="6">
        <v>1</v>
      </c>
      <c r="K216" s="6">
        <v>1</v>
      </c>
      <c r="L216" s="6">
        <v>1</v>
      </c>
      <c r="M216" s="6">
        <v>0</v>
      </c>
      <c r="N216" s="6">
        <v>0</v>
      </c>
      <c r="O216" s="6">
        <v>0</v>
      </c>
      <c r="P216" s="6">
        <f>IF(O216&gt;0,1,0)</f>
        <v>0</v>
      </c>
      <c r="Q216" s="6">
        <v>0</v>
      </c>
      <c r="S216" s="6">
        <v>62.1</v>
      </c>
      <c r="T216" s="6">
        <f>IF(S216="",MEDIAN($S$2:$S$1409),S216)</f>
        <v>62.1</v>
      </c>
    </row>
    <row r="217" spans="1:20" ht="15" customHeight="1">
      <c r="A217" s="6" t="s">
        <v>251</v>
      </c>
      <c r="B217" s="7">
        <v>45765</v>
      </c>
      <c r="C217" s="6" t="s">
        <v>21</v>
      </c>
      <c r="D217" s="6" t="s">
        <v>36</v>
      </c>
      <c r="E217" s="6" t="s">
        <v>28</v>
      </c>
      <c r="F217" s="6" t="str">
        <f>IF(E217="","Unknown",E217)</f>
        <v>Mobile</v>
      </c>
      <c r="G217" s="6" t="s">
        <v>45</v>
      </c>
      <c r="H217" s="6" t="str">
        <f>IF(G217="","Unknown",G217)</f>
        <v>Social</v>
      </c>
      <c r="I217" s="6" t="s">
        <v>25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f>IF(O217&gt;0,1,0)</f>
        <v>0</v>
      </c>
      <c r="Q217" s="6">
        <v>0</v>
      </c>
      <c r="S217" s="6">
        <v>45.4</v>
      </c>
      <c r="T217" s="6">
        <f>IF(S217="",MEDIAN($S$2:$S$1409),S217)</f>
        <v>45.4</v>
      </c>
    </row>
    <row r="218" spans="1:20" ht="15" customHeight="1">
      <c r="A218" s="6" t="s">
        <v>252</v>
      </c>
      <c r="B218" s="7">
        <v>45743</v>
      </c>
      <c r="C218" s="6" t="s">
        <v>21</v>
      </c>
      <c r="D218" s="6" t="s">
        <v>22</v>
      </c>
      <c r="E218" s="6" t="s">
        <v>28</v>
      </c>
      <c r="F218" s="6" t="str">
        <f>IF(E218="","Unknown",E218)</f>
        <v>Mobile</v>
      </c>
      <c r="G218" s="6" t="s">
        <v>33</v>
      </c>
      <c r="H218" s="6" t="str">
        <f>IF(G218="","Unknown",G218)</f>
        <v>Paid Search</v>
      </c>
      <c r="I218" s="6" t="s">
        <v>25</v>
      </c>
      <c r="J218" s="6">
        <v>1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f>IF(O218&gt;0,1,0)</f>
        <v>0</v>
      </c>
      <c r="Q218" s="6">
        <v>0</v>
      </c>
      <c r="S218" s="6">
        <v>53.3</v>
      </c>
      <c r="T218" s="6">
        <f>IF(S218="",MEDIAN($S$2:$S$1409),S218)</f>
        <v>53.3</v>
      </c>
    </row>
    <row r="219" spans="1:20" ht="15" customHeight="1">
      <c r="A219" s="6" t="s">
        <v>253</v>
      </c>
      <c r="B219" s="7">
        <v>45713</v>
      </c>
      <c r="C219" s="6" t="s">
        <v>21</v>
      </c>
      <c r="D219" s="6" t="s">
        <v>22</v>
      </c>
      <c r="E219" s="6" t="s">
        <v>38</v>
      </c>
      <c r="F219" s="6" t="str">
        <f>IF(E219="","Unknown",E219)</f>
        <v>Tablet</v>
      </c>
      <c r="G219" s="6" t="s">
        <v>45</v>
      </c>
      <c r="H219" s="6" t="str">
        <f>IF(G219="","Unknown",G219)</f>
        <v>Social</v>
      </c>
      <c r="I219" s="6" t="s">
        <v>30</v>
      </c>
      <c r="J219" s="6">
        <v>1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f>IF(O219&gt;0,1,0)</f>
        <v>0</v>
      </c>
      <c r="Q219" s="6">
        <v>0</v>
      </c>
      <c r="S219" s="6"/>
      <c r="T219" s="6">
        <f>IF(S219="",MEDIAN($S$2:$S$1409),S219)</f>
        <v>59.9</v>
      </c>
    </row>
    <row r="220" spans="1:20" ht="15" customHeight="1">
      <c r="A220" s="6" t="s">
        <v>254</v>
      </c>
      <c r="B220" s="7">
        <v>45707</v>
      </c>
      <c r="C220" s="6" t="s">
        <v>21</v>
      </c>
      <c r="D220" s="6" t="s">
        <v>32</v>
      </c>
      <c r="E220" s="6" t="s">
        <v>28</v>
      </c>
      <c r="F220" s="6" t="str">
        <f>IF(E220="","Unknown",E220)</f>
        <v>Mobile</v>
      </c>
      <c r="G220" s="6" t="s">
        <v>33</v>
      </c>
      <c r="H220" s="6" t="str">
        <f>IF(G220="","Unknown",G220)</f>
        <v>Paid Search</v>
      </c>
      <c r="I220" s="6" t="s">
        <v>30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1</v>
      </c>
      <c r="P220" s="6">
        <f>IF(O220&gt;0,1,0)</f>
        <v>1</v>
      </c>
      <c r="Q220" s="6">
        <v>0</v>
      </c>
      <c r="S220" s="6">
        <v>38.200000000000003</v>
      </c>
      <c r="T220" s="6">
        <f>IF(S220="",MEDIAN($S$2:$S$1409),S220)</f>
        <v>38.200000000000003</v>
      </c>
    </row>
    <row r="221" spans="1:20" ht="15" customHeight="1">
      <c r="A221" s="6" t="s">
        <v>255</v>
      </c>
      <c r="B221" s="7">
        <v>45758</v>
      </c>
      <c r="C221" s="6" t="s">
        <v>21</v>
      </c>
      <c r="D221" s="6" t="s">
        <v>27</v>
      </c>
      <c r="E221" s="6" t="s">
        <v>28</v>
      </c>
      <c r="F221" s="6" t="str">
        <f>IF(E221="","Unknown",E221)</f>
        <v>Mobile</v>
      </c>
      <c r="G221" s="6" t="s">
        <v>33</v>
      </c>
      <c r="H221" s="6" t="str">
        <f>IF(G221="","Unknown",G221)</f>
        <v>Paid Search</v>
      </c>
      <c r="I221" s="6" t="s">
        <v>30</v>
      </c>
      <c r="J221" s="6">
        <v>1</v>
      </c>
      <c r="K221" s="6">
        <v>1</v>
      </c>
      <c r="L221" s="6">
        <v>0</v>
      </c>
      <c r="M221" s="6">
        <v>0</v>
      </c>
      <c r="N221" s="6">
        <v>0</v>
      </c>
      <c r="O221" s="6">
        <v>3</v>
      </c>
      <c r="P221" s="6">
        <f>IF(O221&gt;0,1,0)</f>
        <v>1</v>
      </c>
      <c r="Q221" s="6">
        <v>0</v>
      </c>
      <c r="S221" s="6">
        <v>59</v>
      </c>
      <c r="T221" s="6">
        <f>IF(S221="",MEDIAN($S$2:$S$1409),S221)</f>
        <v>59</v>
      </c>
    </row>
    <row r="222" spans="1:20" ht="15" customHeight="1">
      <c r="A222" s="6" t="s">
        <v>256</v>
      </c>
      <c r="B222" s="7">
        <v>45679</v>
      </c>
      <c r="C222" s="6" t="s">
        <v>21</v>
      </c>
      <c r="D222" s="6" t="s">
        <v>32</v>
      </c>
      <c r="E222" s="6" t="s">
        <v>38</v>
      </c>
      <c r="F222" s="6" t="str">
        <f>IF(E222="","Unknown",E222)</f>
        <v>Tablet</v>
      </c>
      <c r="G222" s="6" t="s">
        <v>43</v>
      </c>
      <c r="H222" s="6" t="str">
        <f>IF(G222="","Unknown",G222)</f>
        <v>Referral</v>
      </c>
      <c r="I222" s="6" t="s">
        <v>34</v>
      </c>
      <c r="J222" s="6">
        <v>1</v>
      </c>
      <c r="K222" s="6">
        <v>1</v>
      </c>
      <c r="L222" s="6">
        <v>1</v>
      </c>
      <c r="M222" s="6">
        <v>0</v>
      </c>
      <c r="N222" s="6">
        <v>0</v>
      </c>
      <c r="O222" s="6">
        <v>0</v>
      </c>
      <c r="P222" s="6">
        <f>IF(O222&gt;0,1,0)</f>
        <v>0</v>
      </c>
      <c r="Q222" s="6">
        <v>0</v>
      </c>
      <c r="S222" s="6">
        <v>80.599999999999994</v>
      </c>
      <c r="T222" s="6">
        <f>IF(S222="",MEDIAN($S$2:$S$1409),S222)</f>
        <v>80.599999999999994</v>
      </c>
    </row>
    <row r="223" spans="1:20" ht="15" customHeight="1">
      <c r="A223" s="6" t="s">
        <v>257</v>
      </c>
      <c r="B223" s="7">
        <v>45669</v>
      </c>
      <c r="C223" s="6" t="s">
        <v>21</v>
      </c>
      <c r="D223" s="6" t="s">
        <v>36</v>
      </c>
      <c r="E223" s="6" t="s">
        <v>28</v>
      </c>
      <c r="F223" s="6" t="str">
        <f>IF(E223="","Unknown",E223)</f>
        <v>Mobile</v>
      </c>
      <c r="G223" s="6" t="s">
        <v>45</v>
      </c>
      <c r="H223" s="6" t="str">
        <f>IF(G223="","Unknown",G223)</f>
        <v>Social</v>
      </c>
      <c r="I223" s="6" t="s">
        <v>30</v>
      </c>
      <c r="J223" s="6">
        <v>1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f>IF(O223&gt;0,1,0)</f>
        <v>0</v>
      </c>
      <c r="Q223" s="6">
        <v>0</v>
      </c>
      <c r="S223" s="6">
        <v>67</v>
      </c>
      <c r="T223" s="6">
        <f>IF(S223="",MEDIAN($S$2:$S$1409),S223)</f>
        <v>67</v>
      </c>
    </row>
    <row r="224" spans="1:20" ht="15" customHeight="1">
      <c r="A224" s="6" t="s">
        <v>258</v>
      </c>
      <c r="B224" s="7">
        <v>45705</v>
      </c>
      <c r="C224" s="6" t="s">
        <v>21</v>
      </c>
      <c r="D224" s="6" t="s">
        <v>27</v>
      </c>
      <c r="E224" s="6" t="s">
        <v>28</v>
      </c>
      <c r="F224" s="6" t="str">
        <f>IF(E224="","Unknown",E224)</f>
        <v>Mobile</v>
      </c>
      <c r="G224" s="6" t="s">
        <v>24</v>
      </c>
      <c r="H224" s="6" t="str">
        <f>IF(G224="","Unknown",G224)</f>
        <v>Email</v>
      </c>
      <c r="I224" s="6" t="s">
        <v>30</v>
      </c>
      <c r="J224" s="6">
        <v>1</v>
      </c>
      <c r="K224" s="6">
        <v>0</v>
      </c>
      <c r="L224" s="6">
        <v>0</v>
      </c>
      <c r="M224" s="6">
        <v>0</v>
      </c>
      <c r="N224" s="6">
        <v>0</v>
      </c>
      <c r="O224" s="6">
        <v>1</v>
      </c>
      <c r="P224" s="6">
        <f>IF(O224&gt;0,1,0)</f>
        <v>1</v>
      </c>
      <c r="Q224" s="6">
        <v>0</v>
      </c>
      <c r="S224" s="6">
        <v>72.099999999999994</v>
      </c>
      <c r="T224" s="6">
        <f>IF(S224="",MEDIAN($S$2:$S$1409),S224)</f>
        <v>72.099999999999994</v>
      </c>
    </row>
    <row r="225" spans="1:20" ht="15" customHeight="1">
      <c r="A225" s="6" t="s">
        <v>259</v>
      </c>
      <c r="B225" s="7">
        <v>45758</v>
      </c>
      <c r="C225" s="6" t="s">
        <v>21</v>
      </c>
      <c r="D225" s="6" t="s">
        <v>27</v>
      </c>
      <c r="E225" s="6" t="s">
        <v>23</v>
      </c>
      <c r="F225" s="6" t="str">
        <f>IF(E225="","Unknown",E225)</f>
        <v>Desktop</v>
      </c>
      <c r="G225" s="6" t="s">
        <v>29</v>
      </c>
      <c r="H225" s="6" t="str">
        <f>IF(G225="","Unknown",G225)</f>
        <v>Organic</v>
      </c>
      <c r="I225" s="6" t="s">
        <v>30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f>IF(O225&gt;0,1,0)</f>
        <v>0</v>
      </c>
      <c r="Q225" s="6">
        <v>0</v>
      </c>
      <c r="S225" s="6">
        <v>74.099999999999994</v>
      </c>
      <c r="T225" s="6">
        <f>IF(S225="",MEDIAN($S$2:$S$1409),S225)</f>
        <v>74.099999999999994</v>
      </c>
    </row>
    <row r="226" spans="1:20" ht="15" customHeight="1">
      <c r="A226" s="6" t="s">
        <v>260</v>
      </c>
      <c r="B226" s="7">
        <v>45802</v>
      </c>
      <c r="C226" s="6" t="s">
        <v>21</v>
      </c>
      <c r="D226" s="6" t="s">
        <v>36</v>
      </c>
      <c r="E226" s="6" t="s">
        <v>28</v>
      </c>
      <c r="F226" s="6" t="str">
        <f>IF(E226="","Unknown",E226)</f>
        <v>Mobile</v>
      </c>
      <c r="G226" s="6" t="s">
        <v>43</v>
      </c>
      <c r="H226" s="6" t="str">
        <f>IF(G226="","Unknown",G226)</f>
        <v>Referral</v>
      </c>
      <c r="I226" s="6" t="s">
        <v>34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f>IF(O226&gt;0,1,0)</f>
        <v>0</v>
      </c>
      <c r="Q226" s="6">
        <v>0</v>
      </c>
      <c r="S226" s="6">
        <v>84.8</v>
      </c>
      <c r="T226" s="6">
        <f>IF(S226="",MEDIAN($S$2:$S$1409),S226)</f>
        <v>84.8</v>
      </c>
    </row>
    <row r="227" spans="1:20" ht="15" customHeight="1">
      <c r="A227" s="6" t="s">
        <v>261</v>
      </c>
      <c r="B227" s="7">
        <v>45728</v>
      </c>
      <c r="C227" s="6" t="s">
        <v>21</v>
      </c>
      <c r="D227" s="6" t="s">
        <v>36</v>
      </c>
      <c r="E227" s="6" t="s">
        <v>28</v>
      </c>
      <c r="F227" s="6" t="str">
        <f>IF(E227="","Unknown",E227)</f>
        <v>Mobile</v>
      </c>
      <c r="G227" s="6" t="s">
        <v>29</v>
      </c>
      <c r="H227" s="6" t="str">
        <f>IF(G227="","Unknown",G227)</f>
        <v>Organic</v>
      </c>
      <c r="I227" s="6" t="s">
        <v>25</v>
      </c>
      <c r="J227" s="6">
        <v>1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f>IF(O227&gt;0,1,0)</f>
        <v>0</v>
      </c>
      <c r="Q227" s="6">
        <v>0</v>
      </c>
      <c r="S227" s="6">
        <v>33</v>
      </c>
      <c r="T227" s="6">
        <f>IF(S227="",MEDIAN($S$2:$S$1409),S227)</f>
        <v>33</v>
      </c>
    </row>
    <row r="228" spans="1:20" ht="15" customHeight="1">
      <c r="A228" s="6" t="s">
        <v>262</v>
      </c>
      <c r="B228" s="7">
        <v>45767</v>
      </c>
      <c r="C228" s="6" t="s">
        <v>21</v>
      </c>
      <c r="D228" s="6" t="s">
        <v>22</v>
      </c>
      <c r="E228" s="6" t="s">
        <v>38</v>
      </c>
      <c r="F228" s="6" t="str">
        <f>IF(E228="","Unknown",E228)</f>
        <v>Tablet</v>
      </c>
      <c r="G228" s="6" t="s">
        <v>24</v>
      </c>
      <c r="H228" s="6" t="str">
        <f>IF(G228="","Unknown",G228)</f>
        <v>Email</v>
      </c>
      <c r="I228" s="6" t="s">
        <v>30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f>IF(O228&gt;0,1,0)</f>
        <v>0</v>
      </c>
      <c r="Q228" s="6">
        <v>0</v>
      </c>
      <c r="S228" s="6">
        <v>52.5</v>
      </c>
      <c r="T228" s="6">
        <f>IF(S228="",MEDIAN($S$2:$S$1409),S228)</f>
        <v>52.5</v>
      </c>
    </row>
    <row r="229" spans="1:20" ht="15" customHeight="1">
      <c r="A229" s="6" t="s">
        <v>263</v>
      </c>
      <c r="B229" s="7">
        <v>45711</v>
      </c>
      <c r="C229" s="6" t="s">
        <v>21</v>
      </c>
      <c r="D229" s="6" t="s">
        <v>22</v>
      </c>
      <c r="E229" s="6" t="s">
        <v>38</v>
      </c>
      <c r="F229" s="6" t="str">
        <f>IF(E229="","Unknown",E229)</f>
        <v>Tablet</v>
      </c>
      <c r="G229" s="6" t="s">
        <v>29</v>
      </c>
      <c r="H229" s="6" t="str">
        <f>IF(G229="","Unknown",G229)</f>
        <v>Organic</v>
      </c>
      <c r="I229" s="6" t="s">
        <v>30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f>IF(O229&gt;0,1,0)</f>
        <v>0</v>
      </c>
      <c r="Q229" s="6">
        <v>0</v>
      </c>
      <c r="S229" s="6">
        <v>66.900000000000006</v>
      </c>
      <c r="T229" s="6">
        <f>IF(S229="",MEDIAN($S$2:$S$1409),S229)</f>
        <v>66.900000000000006</v>
      </c>
    </row>
    <row r="230" spans="1:20" ht="15" customHeight="1">
      <c r="A230" s="6" t="s">
        <v>264</v>
      </c>
      <c r="B230" s="7">
        <v>45681</v>
      </c>
      <c r="C230" s="6" t="s">
        <v>21</v>
      </c>
      <c r="D230" s="6" t="s">
        <v>22</v>
      </c>
      <c r="E230" s="6" t="s">
        <v>28</v>
      </c>
      <c r="F230" s="6" t="str">
        <f>IF(E230="","Unknown",E230)</f>
        <v>Mobile</v>
      </c>
      <c r="G230" s="6" t="s">
        <v>29</v>
      </c>
      <c r="H230" s="6" t="str">
        <f>IF(G230="","Unknown",G230)</f>
        <v>Organic</v>
      </c>
      <c r="I230" s="6" t="s">
        <v>25</v>
      </c>
      <c r="J230" s="6">
        <v>1</v>
      </c>
      <c r="K230" s="6">
        <v>1</v>
      </c>
      <c r="L230" s="6">
        <v>1</v>
      </c>
      <c r="M230" s="6">
        <v>0</v>
      </c>
      <c r="N230" s="6">
        <v>0</v>
      </c>
      <c r="O230" s="6">
        <v>1</v>
      </c>
      <c r="P230" s="6">
        <f>IF(O230&gt;0,1,0)</f>
        <v>1</v>
      </c>
      <c r="Q230" s="6">
        <v>0</v>
      </c>
      <c r="S230" s="6">
        <v>32.700000000000003</v>
      </c>
      <c r="T230" s="6">
        <f>IF(S230="",MEDIAN($S$2:$S$1409),S230)</f>
        <v>32.700000000000003</v>
      </c>
    </row>
    <row r="231" spans="1:20" ht="15" customHeight="1">
      <c r="A231" s="6" t="s">
        <v>265</v>
      </c>
      <c r="B231" s="7">
        <v>45673</v>
      </c>
      <c r="C231" s="6" t="s">
        <v>21</v>
      </c>
      <c r="D231" s="6" t="s">
        <v>27</v>
      </c>
      <c r="E231" s="6" t="s">
        <v>28</v>
      </c>
      <c r="F231" s="6" t="str">
        <f>IF(E231="","Unknown",E231)</f>
        <v>Mobile</v>
      </c>
      <c r="G231" s="6" t="s">
        <v>29</v>
      </c>
      <c r="H231" s="6" t="str">
        <f>IF(G231="","Unknown",G231)</f>
        <v>Organic</v>
      </c>
      <c r="I231" s="6" t="s">
        <v>34</v>
      </c>
      <c r="J231" s="6">
        <v>1</v>
      </c>
      <c r="K231" s="6">
        <v>1</v>
      </c>
      <c r="L231" s="6">
        <v>1</v>
      </c>
      <c r="M231" s="6">
        <v>0</v>
      </c>
      <c r="N231" s="6">
        <v>0</v>
      </c>
      <c r="O231" s="6">
        <v>1</v>
      </c>
      <c r="P231" s="6">
        <f>IF(O231&gt;0,1,0)</f>
        <v>1</v>
      </c>
      <c r="Q231" s="6">
        <v>0</v>
      </c>
      <c r="S231" s="6">
        <v>70.599999999999994</v>
      </c>
      <c r="T231" s="6">
        <f>IF(S231="",MEDIAN($S$2:$S$1409),S231)</f>
        <v>70.599999999999994</v>
      </c>
    </row>
    <row r="232" spans="1:20" ht="15" customHeight="1">
      <c r="A232" s="6" t="s">
        <v>266</v>
      </c>
      <c r="B232" s="7">
        <v>45705</v>
      </c>
      <c r="C232" s="6" t="s">
        <v>21</v>
      </c>
      <c r="D232" s="6" t="s">
        <v>22</v>
      </c>
      <c r="E232" s="6" t="s">
        <v>28</v>
      </c>
      <c r="F232" s="6" t="str">
        <f>IF(E232="","Unknown",E232)</f>
        <v>Mobile</v>
      </c>
      <c r="G232" s="6" t="s">
        <v>45</v>
      </c>
      <c r="H232" s="6" t="str">
        <f>IF(G232="","Unknown",G232)</f>
        <v>Social</v>
      </c>
      <c r="I232" s="6" t="s">
        <v>30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f>IF(O232&gt;0,1,0)</f>
        <v>0</v>
      </c>
      <c r="Q232" s="6">
        <v>0</v>
      </c>
      <c r="S232" s="6">
        <v>69.400000000000006</v>
      </c>
      <c r="T232" s="6">
        <f>IF(S232="",MEDIAN($S$2:$S$1409),S232)</f>
        <v>69.400000000000006</v>
      </c>
    </row>
    <row r="233" spans="1:20" ht="15" customHeight="1">
      <c r="A233" s="6" t="s">
        <v>267</v>
      </c>
      <c r="B233" s="7">
        <v>45781</v>
      </c>
      <c r="C233" s="6" t="s">
        <v>21</v>
      </c>
      <c r="D233" s="6" t="s">
        <v>22</v>
      </c>
      <c r="E233" s="6" t="s">
        <v>23</v>
      </c>
      <c r="F233" s="6" t="str">
        <f>IF(E233="","Unknown",E233)</f>
        <v>Desktop</v>
      </c>
      <c r="G233" s="6" t="s">
        <v>29</v>
      </c>
      <c r="H233" s="6" t="str">
        <f>IF(G233="","Unknown",G233)</f>
        <v>Organic</v>
      </c>
      <c r="I233" s="6" t="s">
        <v>25</v>
      </c>
      <c r="J233" s="6">
        <v>1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f>IF(O233&gt;0,1,0)</f>
        <v>0</v>
      </c>
      <c r="Q233" s="6">
        <v>0</v>
      </c>
      <c r="S233" s="6">
        <v>56.1</v>
      </c>
      <c r="T233" s="6">
        <f>IF(S233="",MEDIAN($S$2:$S$1409),S233)</f>
        <v>56.1</v>
      </c>
    </row>
    <row r="234" spans="1:20" ht="15" customHeight="1">
      <c r="A234" s="6" t="s">
        <v>268</v>
      </c>
      <c r="B234" s="7">
        <v>45669</v>
      </c>
      <c r="C234" s="6" t="s">
        <v>21</v>
      </c>
      <c r="D234" s="6" t="s">
        <v>27</v>
      </c>
      <c r="E234" s="6" t="s">
        <v>28</v>
      </c>
      <c r="F234" s="6" t="str">
        <f>IF(E234="","Unknown",E234)</f>
        <v>Mobile</v>
      </c>
      <c r="G234" s="6" t="s">
        <v>29</v>
      </c>
      <c r="H234" s="6" t="str">
        <f>IF(G234="","Unknown",G234)</f>
        <v>Organic</v>
      </c>
      <c r="I234" s="6" t="s">
        <v>25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f>IF(O234&gt;0,1,0)</f>
        <v>0</v>
      </c>
      <c r="Q234" s="6">
        <v>0</v>
      </c>
      <c r="S234" s="6">
        <v>55.8</v>
      </c>
      <c r="T234" s="6">
        <f>IF(S234="",MEDIAN($S$2:$S$1409),S234)</f>
        <v>55.8</v>
      </c>
    </row>
    <row r="235" spans="1:20" ht="15" customHeight="1">
      <c r="A235" s="6" t="s">
        <v>269</v>
      </c>
      <c r="B235" s="7">
        <v>45775</v>
      </c>
      <c r="C235" s="6" t="s">
        <v>21</v>
      </c>
      <c r="D235" s="6" t="s">
        <v>22</v>
      </c>
      <c r="E235" s="6" t="s">
        <v>38</v>
      </c>
      <c r="F235" s="6" t="str">
        <f>IF(E235="","Unknown",E235)</f>
        <v>Tablet</v>
      </c>
      <c r="G235" s="6" t="s">
        <v>29</v>
      </c>
      <c r="H235" s="6" t="str">
        <f>IF(G235="","Unknown",G235)</f>
        <v>Organic</v>
      </c>
      <c r="I235" s="6" t="s">
        <v>30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f>IF(O235&gt;0,1,0)</f>
        <v>0</v>
      </c>
      <c r="Q235" s="6">
        <v>0</v>
      </c>
      <c r="S235" s="6">
        <v>49.3</v>
      </c>
      <c r="T235" s="6">
        <f>IF(S235="",MEDIAN($S$2:$S$1409),S235)</f>
        <v>49.3</v>
      </c>
    </row>
    <row r="236" spans="1:20" ht="15" customHeight="1">
      <c r="A236" s="6" t="s">
        <v>270</v>
      </c>
      <c r="B236" s="7">
        <v>45714</v>
      </c>
      <c r="C236" s="6" t="s">
        <v>21</v>
      </c>
      <c r="D236" s="6" t="s">
        <v>22</v>
      </c>
      <c r="E236" s="6" t="s">
        <v>28</v>
      </c>
      <c r="F236" s="6" t="str">
        <f>IF(E236="","Unknown",E236)</f>
        <v>Mobile</v>
      </c>
      <c r="G236" s="6" t="s">
        <v>29</v>
      </c>
      <c r="H236" s="6" t="str">
        <f>IF(G236="","Unknown",G236)</f>
        <v>Organic</v>
      </c>
      <c r="I236" s="6" t="s">
        <v>30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f>IF(O236&gt;0,1,0)</f>
        <v>0</v>
      </c>
      <c r="Q236" s="6">
        <v>0</v>
      </c>
      <c r="S236" s="6">
        <v>71.8</v>
      </c>
      <c r="T236" s="6">
        <f>IF(S236="",MEDIAN($S$2:$S$1409),S236)</f>
        <v>71.8</v>
      </c>
    </row>
    <row r="237" spans="1:20" ht="15" customHeight="1">
      <c r="A237" s="6" t="s">
        <v>271</v>
      </c>
      <c r="B237" s="7">
        <v>45734</v>
      </c>
      <c r="C237" s="6" t="s">
        <v>21</v>
      </c>
      <c r="D237" s="6" t="s">
        <v>27</v>
      </c>
      <c r="E237" s="6" t="s">
        <v>28</v>
      </c>
      <c r="F237" s="6" t="str">
        <f>IF(E237="","Unknown",E237)</f>
        <v>Mobile</v>
      </c>
      <c r="G237" s="6" t="s">
        <v>45</v>
      </c>
      <c r="H237" s="6" t="str">
        <f>IF(G237="","Unknown",G237)</f>
        <v>Social</v>
      </c>
      <c r="I237" s="6" t="s">
        <v>30</v>
      </c>
      <c r="J237" s="6">
        <v>1</v>
      </c>
      <c r="K237" s="6">
        <v>0</v>
      </c>
      <c r="L237" s="6">
        <v>0</v>
      </c>
      <c r="M237" s="6">
        <v>0</v>
      </c>
      <c r="N237" s="6">
        <v>0</v>
      </c>
      <c r="O237" s="6">
        <v>3</v>
      </c>
      <c r="P237" s="6">
        <f>IF(O237&gt;0,1,0)</f>
        <v>1</v>
      </c>
      <c r="Q237" s="6">
        <v>0</v>
      </c>
      <c r="S237" s="6">
        <v>39.700000000000003</v>
      </c>
      <c r="T237" s="6">
        <f>IF(S237="",MEDIAN($S$2:$S$1409),S237)</f>
        <v>39.700000000000003</v>
      </c>
    </row>
    <row r="238" spans="1:20" ht="15" customHeight="1">
      <c r="A238" s="6" t="s">
        <v>272</v>
      </c>
      <c r="B238" s="7">
        <v>45717</v>
      </c>
      <c r="C238" s="6" t="s">
        <v>21</v>
      </c>
      <c r="D238" s="6" t="s">
        <v>36</v>
      </c>
      <c r="E238" s="6" t="s">
        <v>23</v>
      </c>
      <c r="F238" s="6" t="str">
        <f>IF(E238="","Unknown",E238)</f>
        <v>Desktop</v>
      </c>
      <c r="G238" s="6" t="s">
        <v>29</v>
      </c>
      <c r="H238" s="6" t="str">
        <f>IF(G238="","Unknown",G238)</f>
        <v>Organic</v>
      </c>
      <c r="I238" s="6" t="s">
        <v>34</v>
      </c>
      <c r="J238" s="6">
        <v>1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f>IF(O238&gt;0,1,0)</f>
        <v>0</v>
      </c>
      <c r="Q238" s="6">
        <v>0</v>
      </c>
      <c r="S238" s="6">
        <v>45.4</v>
      </c>
      <c r="T238" s="6">
        <f>IF(S238="",MEDIAN($S$2:$S$1409),S238)</f>
        <v>45.4</v>
      </c>
    </row>
    <row r="239" spans="1:20" ht="15" customHeight="1">
      <c r="A239" s="6" t="s">
        <v>273</v>
      </c>
      <c r="B239" s="7">
        <v>45752</v>
      </c>
      <c r="C239" s="6" t="s">
        <v>21</v>
      </c>
      <c r="D239" s="6" t="s">
        <v>22</v>
      </c>
      <c r="E239" s="6" t="s">
        <v>23</v>
      </c>
      <c r="F239" s="6" t="str">
        <f>IF(E239="","Unknown",E239)</f>
        <v>Desktop</v>
      </c>
      <c r="G239" s="6" t="s">
        <v>45</v>
      </c>
      <c r="H239" s="6" t="str">
        <f>IF(G239="","Unknown",G239)</f>
        <v>Social</v>
      </c>
      <c r="I239" s="6" t="s">
        <v>34</v>
      </c>
      <c r="J239" s="6">
        <v>1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f>IF(O239&gt;0,1,0)</f>
        <v>0</v>
      </c>
      <c r="Q239" s="6">
        <v>0</v>
      </c>
      <c r="S239" s="6">
        <v>69.900000000000006</v>
      </c>
      <c r="T239" s="6">
        <f>IF(S239="",MEDIAN($S$2:$S$1409),S239)</f>
        <v>69.900000000000006</v>
      </c>
    </row>
    <row r="240" spans="1:20" ht="15" customHeight="1">
      <c r="A240" s="6" t="s">
        <v>274</v>
      </c>
      <c r="B240" s="7">
        <v>45728</v>
      </c>
      <c r="C240" s="6" t="s">
        <v>21</v>
      </c>
      <c r="D240" s="6" t="s">
        <v>22</v>
      </c>
      <c r="E240" s="6" t="s">
        <v>23</v>
      </c>
      <c r="F240" s="6" t="str">
        <f>IF(E240="","Unknown",E240)</f>
        <v>Desktop</v>
      </c>
      <c r="G240" s="6" t="s">
        <v>45</v>
      </c>
      <c r="H240" s="6" t="str">
        <f>IF(G240="","Unknown",G240)</f>
        <v>Social</v>
      </c>
      <c r="I240" s="6" t="s">
        <v>30</v>
      </c>
      <c r="J240" s="6">
        <v>1</v>
      </c>
      <c r="K240" s="6">
        <v>1</v>
      </c>
      <c r="L240" s="6">
        <v>1</v>
      </c>
      <c r="M240" s="6">
        <v>0</v>
      </c>
      <c r="N240" s="6">
        <v>0</v>
      </c>
      <c r="O240" s="6">
        <v>0</v>
      </c>
      <c r="P240" s="6">
        <f>IF(O240&gt;0,1,0)</f>
        <v>0</v>
      </c>
      <c r="Q240" s="6">
        <v>0</v>
      </c>
      <c r="S240" s="6">
        <v>56.1</v>
      </c>
      <c r="T240" s="6">
        <f>IF(S240="",MEDIAN($S$2:$S$1409),S240)</f>
        <v>56.1</v>
      </c>
    </row>
    <row r="241" spans="1:20" ht="15" customHeight="1">
      <c r="A241" s="6" t="s">
        <v>275</v>
      </c>
      <c r="B241" s="7">
        <v>45731</v>
      </c>
      <c r="C241" s="6" t="s">
        <v>21</v>
      </c>
      <c r="D241" s="6" t="s">
        <v>27</v>
      </c>
      <c r="E241" s="6" t="s">
        <v>28</v>
      </c>
      <c r="F241" s="6" t="str">
        <f>IF(E241="","Unknown",E241)</f>
        <v>Mobile</v>
      </c>
      <c r="G241" s="6" t="s">
        <v>43</v>
      </c>
      <c r="H241" s="6" t="str">
        <f>IF(G241="","Unknown",G241)</f>
        <v>Referral</v>
      </c>
      <c r="I241" s="6" t="s">
        <v>25</v>
      </c>
      <c r="J241" s="6">
        <v>1</v>
      </c>
      <c r="K241" s="6">
        <v>1</v>
      </c>
      <c r="L241" s="6">
        <v>0</v>
      </c>
      <c r="M241" s="6">
        <v>0</v>
      </c>
      <c r="N241" s="6">
        <v>0</v>
      </c>
      <c r="O241" s="6">
        <v>0</v>
      </c>
      <c r="P241" s="6">
        <f>IF(O241&gt;0,1,0)</f>
        <v>0</v>
      </c>
      <c r="Q241" s="6">
        <v>0</v>
      </c>
      <c r="S241" s="6">
        <v>45.9</v>
      </c>
      <c r="T241" s="6">
        <f>IF(S241="",MEDIAN($S$2:$S$1409),S241)</f>
        <v>45.9</v>
      </c>
    </row>
    <row r="242" spans="1:20" ht="15" customHeight="1">
      <c r="A242" s="6" t="s">
        <v>276</v>
      </c>
      <c r="B242" s="7">
        <v>45711</v>
      </c>
      <c r="C242" s="6" t="s">
        <v>21</v>
      </c>
      <c r="D242" s="6" t="s">
        <v>27</v>
      </c>
      <c r="E242" s="6" t="s">
        <v>28</v>
      </c>
      <c r="F242" s="6" t="str">
        <f>IF(E242="","Unknown",E242)</f>
        <v>Mobile</v>
      </c>
      <c r="G242" s="6" t="s">
        <v>24</v>
      </c>
      <c r="H242" s="6" t="str">
        <f>IF(G242="","Unknown",G242)</f>
        <v>Email</v>
      </c>
      <c r="I242" s="6" t="s">
        <v>30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f>IF(O242&gt;0,1,0)</f>
        <v>0</v>
      </c>
      <c r="Q242" s="6">
        <v>0</v>
      </c>
      <c r="S242" s="6">
        <v>65.8</v>
      </c>
      <c r="T242" s="6">
        <f>IF(S242="",MEDIAN($S$2:$S$1409),S242)</f>
        <v>65.8</v>
      </c>
    </row>
    <row r="243" spans="1:20" ht="15" customHeight="1">
      <c r="A243" s="6" t="s">
        <v>277</v>
      </c>
      <c r="B243" s="7">
        <v>45769</v>
      </c>
      <c r="C243" s="6" t="s">
        <v>21</v>
      </c>
      <c r="D243" s="6" t="s">
        <v>22</v>
      </c>
      <c r="E243" s="6" t="s">
        <v>28</v>
      </c>
      <c r="F243" s="6" t="str">
        <f>IF(E243="","Unknown",E243)</f>
        <v>Mobile</v>
      </c>
      <c r="G243" s="6" t="s">
        <v>29</v>
      </c>
      <c r="H243" s="6" t="str">
        <f>IF(G243="","Unknown",G243)</f>
        <v>Organic</v>
      </c>
      <c r="I243" s="6" t="s">
        <v>25</v>
      </c>
      <c r="J243" s="6">
        <v>1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f>IF(O243&gt;0,1,0)</f>
        <v>0</v>
      </c>
      <c r="Q243" s="6">
        <v>0</v>
      </c>
      <c r="S243" s="6">
        <v>48.2</v>
      </c>
      <c r="T243" s="6">
        <f>IF(S243="",MEDIAN($S$2:$S$1409),S243)</f>
        <v>48.2</v>
      </c>
    </row>
    <row r="244" spans="1:20" ht="15" customHeight="1">
      <c r="A244" s="6" t="s">
        <v>278</v>
      </c>
      <c r="B244" s="7">
        <v>45666</v>
      </c>
      <c r="C244" s="6" t="s">
        <v>21</v>
      </c>
      <c r="D244" s="6" t="s">
        <v>32</v>
      </c>
      <c r="E244" s="6" t="s">
        <v>28</v>
      </c>
      <c r="F244" s="6" t="str">
        <f>IF(E244="","Unknown",E244)</f>
        <v>Mobile</v>
      </c>
      <c r="G244" s="6" t="s">
        <v>29</v>
      </c>
      <c r="H244" s="6" t="str">
        <f>IF(G244="","Unknown",G244)</f>
        <v>Organic</v>
      </c>
      <c r="I244" s="6" t="s">
        <v>25</v>
      </c>
      <c r="J244" s="6">
        <v>1</v>
      </c>
      <c r="K244" s="6">
        <v>1</v>
      </c>
      <c r="L244" s="6">
        <v>1</v>
      </c>
      <c r="M244" s="6">
        <v>0</v>
      </c>
      <c r="N244" s="6">
        <v>0</v>
      </c>
      <c r="O244" s="6">
        <v>0</v>
      </c>
      <c r="P244" s="6">
        <f>IF(O244&gt;0,1,0)</f>
        <v>0</v>
      </c>
      <c r="Q244" s="6">
        <v>0</v>
      </c>
      <c r="S244" s="6">
        <v>81.099999999999994</v>
      </c>
      <c r="T244" s="6">
        <f>IF(S244="",MEDIAN($S$2:$S$1409),S244)</f>
        <v>81.099999999999994</v>
      </c>
    </row>
    <row r="245" spans="1:20" ht="15" customHeight="1">
      <c r="A245" s="6" t="s">
        <v>279</v>
      </c>
      <c r="B245" s="7">
        <v>45721</v>
      </c>
      <c r="C245" s="6" t="s">
        <v>21</v>
      </c>
      <c r="D245" s="6" t="s">
        <v>32</v>
      </c>
      <c r="E245" s="6" t="s">
        <v>38</v>
      </c>
      <c r="F245" s="6" t="str">
        <f>IF(E245="","Unknown",E245)</f>
        <v>Tablet</v>
      </c>
      <c r="G245" s="6" t="s">
        <v>45</v>
      </c>
      <c r="H245" s="6" t="str">
        <f>IF(G245="","Unknown",G245)</f>
        <v>Social</v>
      </c>
      <c r="I245" s="6" t="s">
        <v>34</v>
      </c>
      <c r="J245" s="6">
        <v>1</v>
      </c>
      <c r="K245" s="6">
        <v>1</v>
      </c>
      <c r="L245" s="6">
        <v>0</v>
      </c>
      <c r="M245" s="6">
        <v>0</v>
      </c>
      <c r="N245" s="6">
        <v>0</v>
      </c>
      <c r="O245" s="6">
        <v>0</v>
      </c>
      <c r="P245" s="6">
        <f>IF(O245&gt;0,1,0)</f>
        <v>0</v>
      </c>
      <c r="Q245" s="6">
        <v>0</v>
      </c>
      <c r="S245" s="6">
        <v>53.2</v>
      </c>
      <c r="T245" s="6">
        <f>IF(S245="",MEDIAN($S$2:$S$1409),S245)</f>
        <v>53.2</v>
      </c>
    </row>
    <row r="246" spans="1:20" ht="15" customHeight="1">
      <c r="A246" s="6" t="s">
        <v>280</v>
      </c>
      <c r="B246" s="7">
        <v>45685</v>
      </c>
      <c r="C246" s="6" t="s">
        <v>21</v>
      </c>
      <c r="D246" s="6" t="s">
        <v>22</v>
      </c>
      <c r="E246" s="6" t="s">
        <v>28</v>
      </c>
      <c r="F246" s="6" t="str">
        <f>IF(E246="","Unknown",E246)</f>
        <v>Mobile</v>
      </c>
      <c r="G246" s="6" t="s">
        <v>45</v>
      </c>
      <c r="H246" s="6" t="str">
        <f>IF(G246="","Unknown",G246)</f>
        <v>Social</v>
      </c>
      <c r="I246" s="6" t="s">
        <v>30</v>
      </c>
      <c r="J246" s="6">
        <v>1</v>
      </c>
      <c r="K246" s="6">
        <v>1</v>
      </c>
      <c r="L246" s="6">
        <v>1</v>
      </c>
      <c r="M246" s="6">
        <v>0</v>
      </c>
      <c r="N246" s="6">
        <v>0</v>
      </c>
      <c r="O246" s="6">
        <v>0</v>
      </c>
      <c r="P246" s="6">
        <f>IF(O246&gt;0,1,0)</f>
        <v>0</v>
      </c>
      <c r="Q246" s="6">
        <v>0</v>
      </c>
      <c r="S246" s="6">
        <v>57.7</v>
      </c>
      <c r="T246" s="6">
        <f>IF(S246="",MEDIAN($S$2:$S$1409),S246)</f>
        <v>57.7</v>
      </c>
    </row>
    <row r="247" spans="1:20" ht="15" customHeight="1">
      <c r="A247" s="6" t="s">
        <v>281</v>
      </c>
      <c r="B247" s="7">
        <v>45678</v>
      </c>
      <c r="C247" s="6" t="s">
        <v>21</v>
      </c>
      <c r="D247" s="6" t="s">
        <v>27</v>
      </c>
      <c r="E247" s="6" t="s">
        <v>28</v>
      </c>
      <c r="F247" s="6" t="str">
        <f>IF(E247="","Unknown",E247)</f>
        <v>Mobile</v>
      </c>
      <c r="G247" s="6" t="s">
        <v>33</v>
      </c>
      <c r="H247" s="6" t="str">
        <f>IF(G247="","Unknown",G247)</f>
        <v>Paid Search</v>
      </c>
      <c r="I247" s="6" t="s">
        <v>34</v>
      </c>
      <c r="J247" s="6">
        <v>1</v>
      </c>
      <c r="K247" s="6">
        <v>1</v>
      </c>
      <c r="L247" s="6">
        <v>0</v>
      </c>
      <c r="M247" s="6">
        <v>0</v>
      </c>
      <c r="N247" s="6">
        <v>0</v>
      </c>
      <c r="O247" s="6">
        <v>0</v>
      </c>
      <c r="P247" s="6">
        <f>IF(O247&gt;0,1,0)</f>
        <v>0</v>
      </c>
      <c r="Q247" s="6">
        <v>0</v>
      </c>
      <c r="S247" s="6">
        <v>78.900000000000006</v>
      </c>
      <c r="T247" s="6">
        <f>IF(S247="",MEDIAN($S$2:$S$1409),S247)</f>
        <v>78.900000000000006</v>
      </c>
    </row>
    <row r="248" spans="1:20" ht="15" customHeight="1">
      <c r="A248" s="6" t="s">
        <v>282</v>
      </c>
      <c r="B248" s="7">
        <v>45730</v>
      </c>
      <c r="C248" s="6" t="s">
        <v>21</v>
      </c>
      <c r="D248" s="6" t="s">
        <v>36</v>
      </c>
      <c r="E248" s="6" t="s">
        <v>28</v>
      </c>
      <c r="F248" s="6" t="str">
        <f>IF(E248="","Unknown",E248)</f>
        <v>Mobile</v>
      </c>
      <c r="G248" s="6" t="s">
        <v>43</v>
      </c>
      <c r="H248" s="6" t="str">
        <f>IF(G248="","Unknown",G248)</f>
        <v>Referral</v>
      </c>
      <c r="I248" s="6" t="s">
        <v>25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f>IF(O248&gt;0,1,0)</f>
        <v>0</v>
      </c>
      <c r="Q248" s="6">
        <v>0</v>
      </c>
      <c r="S248" s="6">
        <v>55.7</v>
      </c>
      <c r="T248" s="6">
        <f>IF(S248="",MEDIAN($S$2:$S$1409),S248)</f>
        <v>55.7</v>
      </c>
    </row>
    <row r="249" spans="1:20" ht="15" customHeight="1">
      <c r="A249" s="6" t="s">
        <v>283</v>
      </c>
      <c r="B249" s="7">
        <v>45691</v>
      </c>
      <c r="C249" s="6" t="s">
        <v>21</v>
      </c>
      <c r="D249" s="6" t="s">
        <v>27</v>
      </c>
      <c r="E249" s="6" t="s">
        <v>28</v>
      </c>
      <c r="F249" s="6" t="str">
        <f>IF(E249="","Unknown",E249)</f>
        <v>Mobile</v>
      </c>
      <c r="G249" s="6" t="s">
        <v>33</v>
      </c>
      <c r="H249" s="6" t="str">
        <f>IF(G249="","Unknown",G249)</f>
        <v>Paid Search</v>
      </c>
      <c r="I249" s="6" t="s">
        <v>30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f>IF(O249&gt;0,1,0)</f>
        <v>0</v>
      </c>
      <c r="Q249" s="6">
        <v>0</v>
      </c>
      <c r="S249" s="6">
        <v>52.3</v>
      </c>
      <c r="T249" s="6">
        <f>IF(S249="",MEDIAN($S$2:$S$1409),S249)</f>
        <v>52.3</v>
      </c>
    </row>
    <row r="250" spans="1:20" ht="15" customHeight="1">
      <c r="A250" s="6" t="s">
        <v>284</v>
      </c>
      <c r="B250" s="7">
        <v>45799</v>
      </c>
      <c r="C250" s="6" t="s">
        <v>21</v>
      </c>
      <c r="D250" s="6" t="s">
        <v>22</v>
      </c>
      <c r="E250" s="6" t="s">
        <v>28</v>
      </c>
      <c r="F250" s="6" t="str">
        <f>IF(E250="","Unknown",E250)</f>
        <v>Mobile</v>
      </c>
      <c r="G250" s="6" t="s">
        <v>45</v>
      </c>
      <c r="H250" s="6" t="str">
        <f>IF(G250="","Unknown",G250)</f>
        <v>Social</v>
      </c>
      <c r="I250" s="6" t="s">
        <v>30</v>
      </c>
      <c r="J250" s="6">
        <v>1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f>IF(O250&gt;0,1,0)</f>
        <v>0</v>
      </c>
      <c r="Q250" s="6">
        <v>0</v>
      </c>
      <c r="S250" s="6">
        <v>51.5</v>
      </c>
      <c r="T250" s="6">
        <f>IF(S250="",MEDIAN($S$2:$S$1409),S250)</f>
        <v>51.5</v>
      </c>
    </row>
    <row r="251" spans="1:20" ht="15" customHeight="1">
      <c r="A251" s="6" t="s">
        <v>285</v>
      </c>
      <c r="B251" s="7">
        <v>45772</v>
      </c>
      <c r="C251" s="6" t="s">
        <v>21</v>
      </c>
      <c r="D251" s="6" t="s">
        <v>22</v>
      </c>
      <c r="E251" s="6" t="s">
        <v>23</v>
      </c>
      <c r="F251" s="6" t="str">
        <f>IF(E251="","Unknown",E251)</f>
        <v>Desktop</v>
      </c>
      <c r="G251" s="6" t="s">
        <v>24</v>
      </c>
      <c r="H251" s="6" t="str">
        <f>IF(G251="","Unknown",G251)</f>
        <v>Email</v>
      </c>
      <c r="I251" s="6" t="s">
        <v>30</v>
      </c>
      <c r="J251" s="6">
        <v>1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f>IF(O251&gt;0,1,0)</f>
        <v>0</v>
      </c>
      <c r="Q251" s="6">
        <v>0</v>
      </c>
      <c r="S251" s="6">
        <v>70.8</v>
      </c>
      <c r="T251" s="6">
        <f>IF(S251="",MEDIAN($S$2:$S$1409),S251)</f>
        <v>70.8</v>
      </c>
    </row>
    <row r="252" spans="1:20" ht="15" customHeight="1">
      <c r="A252" s="6" t="s">
        <v>286</v>
      </c>
      <c r="B252" s="7">
        <v>45687</v>
      </c>
      <c r="C252" s="6" t="s">
        <v>21</v>
      </c>
      <c r="D252" s="6" t="s">
        <v>22</v>
      </c>
      <c r="E252" s="6" t="s">
        <v>23</v>
      </c>
      <c r="F252" s="6" t="str">
        <f>IF(E252="","Unknown",E252)</f>
        <v>Desktop</v>
      </c>
      <c r="G252" s="6" t="s">
        <v>24</v>
      </c>
      <c r="H252" s="6" t="str">
        <f>IF(G252="","Unknown",G252)</f>
        <v>Email</v>
      </c>
      <c r="I252" s="6" t="s">
        <v>25</v>
      </c>
      <c r="J252" s="6">
        <v>1</v>
      </c>
      <c r="K252" s="6">
        <v>1</v>
      </c>
      <c r="L252" s="6">
        <v>1</v>
      </c>
      <c r="M252" s="6">
        <v>1</v>
      </c>
      <c r="N252" s="6">
        <v>1250.78</v>
      </c>
      <c r="O252" s="6">
        <v>0</v>
      </c>
      <c r="P252" s="6">
        <f>IF(O252&gt;0,1,0)</f>
        <v>0</v>
      </c>
      <c r="Q252" s="6">
        <v>0</v>
      </c>
      <c r="R252" s="6">
        <v>10</v>
      </c>
      <c r="S252" s="6">
        <v>39</v>
      </c>
      <c r="T252" s="6">
        <f>IF(S252="",MEDIAN($S$2:$S$1409),S252)</f>
        <v>39</v>
      </c>
    </row>
    <row r="253" spans="1:20" ht="15" customHeight="1">
      <c r="A253" s="6" t="s">
        <v>287</v>
      </c>
      <c r="B253" s="7">
        <v>45800</v>
      </c>
      <c r="C253" s="6" t="s">
        <v>21</v>
      </c>
      <c r="D253" s="6" t="s">
        <v>27</v>
      </c>
      <c r="E253" s="6" t="s">
        <v>28</v>
      </c>
      <c r="F253" s="6" t="str">
        <f>IF(E253="","Unknown",E253)</f>
        <v>Mobile</v>
      </c>
      <c r="G253" s="6" t="s">
        <v>29</v>
      </c>
      <c r="H253" s="6" t="str">
        <f>IF(G253="","Unknown",G253)</f>
        <v>Organic</v>
      </c>
      <c r="I253" s="6" t="s">
        <v>30</v>
      </c>
      <c r="J253" s="6">
        <v>1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f>IF(O253&gt;0,1,0)</f>
        <v>0</v>
      </c>
      <c r="Q253" s="6">
        <v>0</v>
      </c>
      <c r="S253" s="6">
        <v>61.6</v>
      </c>
      <c r="T253" s="6">
        <f>IF(S253="",MEDIAN($S$2:$S$1409),S253)</f>
        <v>61.6</v>
      </c>
    </row>
    <row r="254" spans="1:20" ht="15" customHeight="1">
      <c r="A254" s="6" t="s">
        <v>288</v>
      </c>
      <c r="B254" s="7">
        <v>45702</v>
      </c>
      <c r="C254" s="6" t="s">
        <v>21</v>
      </c>
      <c r="D254" s="6" t="s">
        <v>32</v>
      </c>
      <c r="E254" s="6" t="s">
        <v>23</v>
      </c>
      <c r="F254" s="6" t="str">
        <f>IF(E254="","Unknown",E254)</f>
        <v>Desktop</v>
      </c>
      <c r="G254" s="6" t="s">
        <v>29</v>
      </c>
      <c r="H254" s="6" t="str">
        <f>IF(G254="","Unknown",G254)</f>
        <v>Organic</v>
      </c>
      <c r="I254" s="6" t="s">
        <v>30</v>
      </c>
      <c r="J254" s="6">
        <v>1</v>
      </c>
      <c r="K254" s="6">
        <v>1</v>
      </c>
      <c r="L254" s="6">
        <v>1</v>
      </c>
      <c r="M254" s="6">
        <v>0</v>
      </c>
      <c r="N254" s="6">
        <v>0</v>
      </c>
      <c r="O254" s="6">
        <v>0</v>
      </c>
      <c r="P254" s="6">
        <f>IF(O254&gt;0,1,0)</f>
        <v>0</v>
      </c>
      <c r="Q254" s="6">
        <v>0</v>
      </c>
      <c r="S254" s="6">
        <v>46.8</v>
      </c>
      <c r="T254" s="6">
        <f>IF(S254="",MEDIAN($S$2:$S$1409),S254)</f>
        <v>46.8</v>
      </c>
    </row>
    <row r="255" spans="1:20" ht="15" customHeight="1">
      <c r="A255" s="6" t="s">
        <v>289</v>
      </c>
      <c r="B255" s="7">
        <v>45721</v>
      </c>
      <c r="C255" s="6" t="s">
        <v>21</v>
      </c>
      <c r="D255" s="6" t="s">
        <v>22</v>
      </c>
      <c r="E255" s="6" t="s">
        <v>28</v>
      </c>
      <c r="F255" s="6" t="str">
        <f>IF(E255="","Unknown",E255)</f>
        <v>Mobile</v>
      </c>
      <c r="G255" s="6" t="s">
        <v>33</v>
      </c>
      <c r="H255" s="6" t="str">
        <f>IF(G255="","Unknown",G255)</f>
        <v>Paid Search</v>
      </c>
      <c r="I255" s="6" t="s">
        <v>34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1</v>
      </c>
      <c r="P255" s="6">
        <f>IF(O255&gt;0,1,0)</f>
        <v>1</v>
      </c>
      <c r="Q255" s="6">
        <v>0</v>
      </c>
      <c r="S255" s="6">
        <v>58.5</v>
      </c>
      <c r="T255" s="6">
        <f>IF(S255="",MEDIAN($S$2:$S$1409),S255)</f>
        <v>58.5</v>
      </c>
    </row>
    <row r="256" spans="1:20" ht="15" customHeight="1">
      <c r="A256" s="6" t="s">
        <v>290</v>
      </c>
      <c r="B256" s="7">
        <v>45804</v>
      </c>
      <c r="C256" s="6" t="s">
        <v>21</v>
      </c>
      <c r="D256" s="6" t="s">
        <v>22</v>
      </c>
      <c r="E256" s="6" t="s">
        <v>28</v>
      </c>
      <c r="F256" s="6" t="str">
        <f>IF(E256="","Unknown",E256)</f>
        <v>Mobile</v>
      </c>
      <c r="G256" s="6" t="s">
        <v>33</v>
      </c>
      <c r="H256" s="6" t="str">
        <f>IF(G256="","Unknown",G256)</f>
        <v>Paid Search</v>
      </c>
      <c r="I256" s="6" t="s">
        <v>25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f>IF(O256&gt;0,1,0)</f>
        <v>0</v>
      </c>
      <c r="Q256" s="6">
        <v>0</v>
      </c>
      <c r="S256" s="6">
        <v>70.900000000000006</v>
      </c>
      <c r="T256" s="6">
        <f>IF(S256="",MEDIAN($S$2:$S$1409),S256)</f>
        <v>70.900000000000006</v>
      </c>
    </row>
    <row r="257" spans="1:20" ht="15" customHeight="1">
      <c r="A257" s="6" t="s">
        <v>291</v>
      </c>
      <c r="B257" s="7">
        <v>45664</v>
      </c>
      <c r="C257" s="6" t="s">
        <v>21</v>
      </c>
      <c r="D257" s="6" t="s">
        <v>36</v>
      </c>
      <c r="E257" s="6" t="s">
        <v>28</v>
      </c>
      <c r="F257" s="6" t="str">
        <f>IF(E257="","Unknown",E257)</f>
        <v>Mobile</v>
      </c>
      <c r="G257" s="6" t="s">
        <v>33</v>
      </c>
      <c r="H257" s="6" t="str">
        <f>IF(G257="","Unknown",G257)</f>
        <v>Paid Search</v>
      </c>
      <c r="I257" s="6" t="s">
        <v>30</v>
      </c>
      <c r="J257" s="6">
        <v>1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f>IF(O257&gt;0,1,0)</f>
        <v>0</v>
      </c>
      <c r="Q257" s="6">
        <v>0</v>
      </c>
      <c r="S257" s="6">
        <v>48.4</v>
      </c>
      <c r="T257" s="6">
        <f>IF(S257="",MEDIAN($S$2:$S$1409),S257)</f>
        <v>48.4</v>
      </c>
    </row>
    <row r="258" spans="1:20" ht="15" customHeight="1">
      <c r="A258" s="6" t="s">
        <v>292</v>
      </c>
      <c r="B258" s="7">
        <v>45768</v>
      </c>
      <c r="C258" s="6" t="s">
        <v>21</v>
      </c>
      <c r="D258" s="6" t="s">
        <v>22</v>
      </c>
      <c r="E258" s="6" t="s">
        <v>28</v>
      </c>
      <c r="F258" s="6" t="str">
        <f>IF(E258="","Unknown",E258)</f>
        <v>Mobile</v>
      </c>
      <c r="G258" s="6" t="s">
        <v>24</v>
      </c>
      <c r="H258" s="6" t="str">
        <f>IF(G258="","Unknown",G258)</f>
        <v>Email</v>
      </c>
      <c r="I258" s="6" t="s">
        <v>30</v>
      </c>
      <c r="J258" s="6">
        <v>1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f>IF(O258&gt;0,1,0)</f>
        <v>0</v>
      </c>
      <c r="Q258" s="6">
        <v>0</v>
      </c>
      <c r="S258" s="6">
        <v>58</v>
      </c>
      <c r="T258" s="6">
        <f>IF(S258="",MEDIAN($S$2:$S$1409),S258)</f>
        <v>58</v>
      </c>
    </row>
    <row r="259" spans="1:20" ht="15" customHeight="1">
      <c r="A259" s="6" t="s">
        <v>293</v>
      </c>
      <c r="B259" s="7">
        <v>45790</v>
      </c>
      <c r="C259" s="6" t="s">
        <v>21</v>
      </c>
      <c r="D259" s="6" t="s">
        <v>22</v>
      </c>
      <c r="E259" s="6" t="s">
        <v>28</v>
      </c>
      <c r="F259" s="6" t="str">
        <f>IF(E259="","Unknown",E259)</f>
        <v>Mobile</v>
      </c>
      <c r="G259" s="6" t="s">
        <v>33</v>
      </c>
      <c r="H259" s="6" t="str">
        <f>IF(G259="","Unknown",G259)</f>
        <v>Paid Search</v>
      </c>
      <c r="I259" s="6" t="s">
        <v>30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f>IF(O259&gt;0,1,0)</f>
        <v>0</v>
      </c>
      <c r="Q259" s="6">
        <v>0</v>
      </c>
      <c r="S259" s="6">
        <v>61.6</v>
      </c>
      <c r="T259" s="6">
        <f>IF(S259="",MEDIAN($S$2:$S$1409),S259)</f>
        <v>61.6</v>
      </c>
    </row>
    <row r="260" spans="1:20" ht="15" customHeight="1">
      <c r="A260" s="6" t="s">
        <v>294</v>
      </c>
      <c r="B260" s="7">
        <v>45685</v>
      </c>
      <c r="C260" s="6" t="s">
        <v>21</v>
      </c>
      <c r="D260" s="6" t="s">
        <v>32</v>
      </c>
      <c r="E260" s="6" t="s">
        <v>23</v>
      </c>
      <c r="F260" s="6" t="str">
        <f>IF(E260="","Unknown",E260)</f>
        <v>Desktop</v>
      </c>
      <c r="G260" s="6" t="s">
        <v>29</v>
      </c>
      <c r="H260" s="6" t="str">
        <f>IF(G260="","Unknown",G260)</f>
        <v>Organic</v>
      </c>
      <c r="I260" s="6" t="s">
        <v>30</v>
      </c>
      <c r="J260" s="6">
        <v>1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f>IF(O260&gt;0,1,0)</f>
        <v>0</v>
      </c>
      <c r="Q260" s="6">
        <v>0</v>
      </c>
      <c r="S260" s="6">
        <v>43.2</v>
      </c>
      <c r="T260" s="6">
        <f>IF(S260="",MEDIAN($S$2:$S$1409),S260)</f>
        <v>43.2</v>
      </c>
    </row>
    <row r="261" spans="1:20" ht="15" customHeight="1">
      <c r="A261" s="6" t="s">
        <v>295</v>
      </c>
      <c r="B261" s="7">
        <v>45732</v>
      </c>
      <c r="C261" s="6" t="s">
        <v>21</v>
      </c>
      <c r="D261" s="6" t="s">
        <v>32</v>
      </c>
      <c r="E261" s="6" t="s">
        <v>23</v>
      </c>
      <c r="F261" s="6" t="str">
        <f>IF(E261="","Unknown",E261)</f>
        <v>Desktop</v>
      </c>
      <c r="G261" s="6" t="s">
        <v>33</v>
      </c>
      <c r="H261" s="6" t="str">
        <f>IF(G261="","Unknown",G261)</f>
        <v>Paid Search</v>
      </c>
      <c r="I261" s="6" t="s">
        <v>25</v>
      </c>
      <c r="J261" s="6">
        <v>1</v>
      </c>
      <c r="K261" s="6">
        <v>0</v>
      </c>
      <c r="L261" s="6">
        <v>0</v>
      </c>
      <c r="M261" s="6">
        <v>0</v>
      </c>
      <c r="N261" s="6">
        <v>0</v>
      </c>
      <c r="O261" s="6">
        <v>1</v>
      </c>
      <c r="P261" s="6">
        <f>IF(O261&gt;0,1,0)</f>
        <v>1</v>
      </c>
      <c r="Q261" s="6">
        <v>0</v>
      </c>
      <c r="S261" s="6">
        <v>53.3</v>
      </c>
      <c r="T261" s="6">
        <f>IF(S261="",MEDIAN($S$2:$S$1409),S261)</f>
        <v>53.3</v>
      </c>
    </row>
    <row r="262" spans="1:20" ht="15" customHeight="1">
      <c r="A262" s="6" t="s">
        <v>296</v>
      </c>
      <c r="B262" s="7">
        <v>45757</v>
      </c>
      <c r="C262" s="6" t="s">
        <v>21</v>
      </c>
      <c r="D262" s="6" t="s">
        <v>32</v>
      </c>
      <c r="E262" s="6" t="s">
        <v>23</v>
      </c>
      <c r="F262" s="6" t="str">
        <f>IF(E262="","Unknown",E262)</f>
        <v>Desktop</v>
      </c>
      <c r="G262" s="6" t="s">
        <v>45</v>
      </c>
      <c r="H262" s="6" t="str">
        <f>IF(G262="","Unknown",G262)</f>
        <v>Social</v>
      </c>
      <c r="I262" s="6" t="s">
        <v>25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f>IF(O262&gt;0,1,0)</f>
        <v>0</v>
      </c>
      <c r="Q262" s="6">
        <v>0</v>
      </c>
      <c r="S262" s="6">
        <v>33.9</v>
      </c>
      <c r="T262" s="6">
        <f>IF(S262="",MEDIAN($S$2:$S$1409),S262)</f>
        <v>33.9</v>
      </c>
    </row>
    <row r="263" spans="1:20" ht="15" customHeight="1">
      <c r="A263" s="6" t="s">
        <v>297</v>
      </c>
      <c r="B263" s="7">
        <v>45731</v>
      </c>
      <c r="C263" s="6" t="s">
        <v>21</v>
      </c>
      <c r="D263" s="6" t="s">
        <v>32</v>
      </c>
      <c r="E263" s="6" t="s">
        <v>23</v>
      </c>
      <c r="F263" s="6" t="str">
        <f>IF(E263="","Unknown",E263)</f>
        <v>Desktop</v>
      </c>
      <c r="G263" s="6" t="s">
        <v>43</v>
      </c>
      <c r="H263" s="6" t="str">
        <f>IF(G263="","Unknown",G263)</f>
        <v>Referral</v>
      </c>
      <c r="I263" s="6" t="s">
        <v>30</v>
      </c>
      <c r="J263" s="6">
        <v>1</v>
      </c>
      <c r="K263" s="6">
        <v>1</v>
      </c>
      <c r="L263" s="6">
        <v>1</v>
      </c>
      <c r="M263" s="6">
        <v>0</v>
      </c>
      <c r="N263" s="6">
        <v>0</v>
      </c>
      <c r="O263" s="6">
        <v>0</v>
      </c>
      <c r="P263" s="6">
        <f>IF(O263&gt;0,1,0)</f>
        <v>0</v>
      </c>
      <c r="Q263" s="6">
        <v>0</v>
      </c>
      <c r="S263" s="6">
        <v>35.4</v>
      </c>
      <c r="T263" s="6">
        <f>IF(S263="",MEDIAN($S$2:$S$1409),S263)</f>
        <v>35.4</v>
      </c>
    </row>
    <row r="264" spans="1:20" ht="15" customHeight="1">
      <c r="A264" s="6" t="s">
        <v>298</v>
      </c>
      <c r="B264" s="7">
        <v>45754</v>
      </c>
      <c r="C264" s="6" t="s">
        <v>21</v>
      </c>
      <c r="D264" s="6" t="s">
        <v>27</v>
      </c>
      <c r="E264" s="6" t="s">
        <v>23</v>
      </c>
      <c r="F264" s="6" t="str">
        <f>IF(E264="","Unknown",E264)</f>
        <v>Desktop</v>
      </c>
      <c r="G264" s="6" t="s">
        <v>29</v>
      </c>
      <c r="H264" s="6" t="str">
        <f>IF(G264="","Unknown",G264)</f>
        <v>Organic</v>
      </c>
      <c r="I264" s="6" t="s">
        <v>25</v>
      </c>
      <c r="J264" s="6">
        <v>1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f>IF(O264&gt;0,1,0)</f>
        <v>0</v>
      </c>
      <c r="Q264" s="6">
        <v>0</v>
      </c>
      <c r="S264" s="6">
        <v>45</v>
      </c>
      <c r="T264" s="6">
        <f>IF(S264="",MEDIAN($S$2:$S$1409),S264)</f>
        <v>45</v>
      </c>
    </row>
    <row r="265" spans="1:20" ht="15" customHeight="1">
      <c r="A265" s="6" t="s">
        <v>299</v>
      </c>
      <c r="B265" s="7">
        <v>45700</v>
      </c>
      <c r="C265" s="6" t="s">
        <v>21</v>
      </c>
      <c r="D265" s="6" t="s">
        <v>36</v>
      </c>
      <c r="E265" s="6" t="s">
        <v>28</v>
      </c>
      <c r="F265" s="6" t="str">
        <f>IF(E265="","Unknown",E265)</f>
        <v>Mobile</v>
      </c>
      <c r="G265" s="6" t="s">
        <v>29</v>
      </c>
      <c r="H265" s="6" t="str">
        <f>IF(G265="","Unknown",G265)</f>
        <v>Organic</v>
      </c>
      <c r="I265" s="6" t="s">
        <v>30</v>
      </c>
      <c r="J265" s="6">
        <v>1</v>
      </c>
      <c r="K265" s="6">
        <v>1</v>
      </c>
      <c r="L265" s="6">
        <v>0</v>
      </c>
      <c r="M265" s="6">
        <v>0</v>
      </c>
      <c r="N265" s="6">
        <v>0</v>
      </c>
      <c r="O265" s="6">
        <v>0</v>
      </c>
      <c r="P265" s="6">
        <f>IF(O265&gt;0,1,0)</f>
        <v>0</v>
      </c>
      <c r="Q265" s="6">
        <v>0</v>
      </c>
      <c r="S265" s="6">
        <v>86.5</v>
      </c>
      <c r="T265" s="6">
        <f>IF(S265="",MEDIAN($S$2:$S$1409),S265)</f>
        <v>86.5</v>
      </c>
    </row>
    <row r="266" spans="1:20" ht="15" customHeight="1">
      <c r="A266" s="6" t="s">
        <v>300</v>
      </c>
      <c r="B266" s="7">
        <v>45782</v>
      </c>
      <c r="C266" s="6" t="s">
        <v>21</v>
      </c>
      <c r="D266" s="6" t="s">
        <v>27</v>
      </c>
      <c r="E266" s="6" t="s">
        <v>28</v>
      </c>
      <c r="F266" s="6" t="str">
        <f>IF(E266="","Unknown",E266)</f>
        <v>Mobile</v>
      </c>
      <c r="G266" s="6" t="s">
        <v>45</v>
      </c>
      <c r="H266" s="6" t="str">
        <f>IF(G266="","Unknown",G266)</f>
        <v>Social</v>
      </c>
      <c r="I266" s="6" t="s">
        <v>30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f>IF(O266&gt;0,1,0)</f>
        <v>0</v>
      </c>
      <c r="Q266" s="6">
        <v>0</v>
      </c>
      <c r="S266" s="6">
        <v>58.1</v>
      </c>
      <c r="T266" s="6">
        <f>IF(S266="",MEDIAN($S$2:$S$1409),S266)</f>
        <v>58.1</v>
      </c>
    </row>
    <row r="267" spans="1:20" ht="15" customHeight="1">
      <c r="A267" s="6" t="s">
        <v>301</v>
      </c>
      <c r="B267" s="7">
        <v>45727</v>
      </c>
      <c r="C267" s="6" t="s">
        <v>21</v>
      </c>
      <c r="D267" s="6" t="s">
        <v>27</v>
      </c>
      <c r="E267" s="6" t="s">
        <v>28</v>
      </c>
      <c r="F267" s="6" t="str">
        <f>IF(E267="","Unknown",E267)</f>
        <v>Mobile</v>
      </c>
      <c r="G267" s="6" t="s">
        <v>43</v>
      </c>
      <c r="H267" s="6" t="str">
        <f>IF(G267="","Unknown",G267)</f>
        <v>Referral</v>
      </c>
      <c r="I267" s="6" t="s">
        <v>30</v>
      </c>
      <c r="J267" s="6">
        <v>1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f>IF(O267&gt;0,1,0)</f>
        <v>0</v>
      </c>
      <c r="Q267" s="6">
        <v>0</v>
      </c>
      <c r="S267" s="6">
        <v>36.1</v>
      </c>
      <c r="T267" s="6">
        <f>IF(S267="",MEDIAN($S$2:$S$1409),S267)</f>
        <v>36.1</v>
      </c>
    </row>
    <row r="268" spans="1:20" ht="15" customHeight="1">
      <c r="A268" s="6" t="s">
        <v>302</v>
      </c>
      <c r="B268" s="7">
        <v>45698</v>
      </c>
      <c r="C268" s="6" t="s">
        <v>21</v>
      </c>
      <c r="D268" s="6" t="s">
        <v>32</v>
      </c>
      <c r="E268" s="6" t="s">
        <v>28</v>
      </c>
      <c r="F268" s="6" t="str">
        <f>IF(E268="","Unknown",E268)</f>
        <v>Mobile</v>
      </c>
      <c r="G268" s="6" t="s">
        <v>45</v>
      </c>
      <c r="H268" s="6" t="str">
        <f>IF(G268="","Unknown",G268)</f>
        <v>Social</v>
      </c>
      <c r="I268" s="6" t="s">
        <v>30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f>IF(O268&gt;0,1,0)</f>
        <v>0</v>
      </c>
      <c r="Q268" s="6">
        <v>0</v>
      </c>
      <c r="S268" s="6">
        <v>62.8</v>
      </c>
      <c r="T268" s="6">
        <f>IF(S268="",MEDIAN($S$2:$S$1409),S268)</f>
        <v>62.8</v>
      </c>
    </row>
    <row r="269" spans="1:20" ht="15" customHeight="1">
      <c r="A269" s="6" t="s">
        <v>303</v>
      </c>
      <c r="B269" s="7">
        <v>45753</v>
      </c>
      <c r="C269" s="6" t="s">
        <v>21</v>
      </c>
      <c r="D269" s="6" t="s">
        <v>36</v>
      </c>
      <c r="E269" s="6" t="s">
        <v>28</v>
      </c>
      <c r="F269" s="6" t="str">
        <f>IF(E269="","Unknown",E269)</f>
        <v>Mobile</v>
      </c>
      <c r="G269" s="6" t="s">
        <v>29</v>
      </c>
      <c r="H269" s="6" t="str">
        <f>IF(G269="","Unknown",G269)</f>
        <v>Organic</v>
      </c>
      <c r="I269" s="6" t="s">
        <v>30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f>IF(O269&gt;0,1,0)</f>
        <v>0</v>
      </c>
      <c r="Q269" s="6">
        <v>0</v>
      </c>
      <c r="S269" s="6">
        <v>54.2</v>
      </c>
      <c r="T269" s="6">
        <f>IF(S269="",MEDIAN($S$2:$S$1409),S269)</f>
        <v>54.2</v>
      </c>
    </row>
    <row r="270" spans="1:20" ht="15" customHeight="1">
      <c r="A270" s="6" t="s">
        <v>304</v>
      </c>
      <c r="B270" s="7">
        <v>45663</v>
      </c>
      <c r="C270" s="6" t="s">
        <v>21</v>
      </c>
      <c r="D270" s="6" t="s">
        <v>32</v>
      </c>
      <c r="E270" s="6" t="s">
        <v>28</v>
      </c>
      <c r="F270" s="6" t="str">
        <f>IF(E270="","Unknown",E270)</f>
        <v>Mobile</v>
      </c>
      <c r="G270" s="6" t="s">
        <v>43</v>
      </c>
      <c r="H270" s="6" t="str">
        <f>IF(G270="","Unknown",G270)</f>
        <v>Referral</v>
      </c>
      <c r="I270" s="6" t="s">
        <v>30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f>IF(O270&gt;0,1,0)</f>
        <v>0</v>
      </c>
      <c r="Q270" s="6">
        <v>0</v>
      </c>
      <c r="S270" s="6">
        <v>50</v>
      </c>
      <c r="T270" s="6">
        <f>IF(S270="",MEDIAN($S$2:$S$1409),S270)</f>
        <v>50</v>
      </c>
    </row>
    <row r="271" spans="1:20" ht="15" customHeight="1">
      <c r="A271" s="6" t="s">
        <v>305</v>
      </c>
      <c r="B271" s="7">
        <v>45741</v>
      </c>
      <c r="C271" s="6" t="s">
        <v>21</v>
      </c>
      <c r="D271" s="6" t="s">
        <v>32</v>
      </c>
      <c r="E271" s="6" t="s">
        <v>38</v>
      </c>
      <c r="F271" s="6" t="str">
        <f>IF(E271="","Unknown",E271)</f>
        <v>Tablet</v>
      </c>
      <c r="G271" s="6" t="s">
        <v>33</v>
      </c>
      <c r="H271" s="6" t="str">
        <f>IF(G271="","Unknown",G271)</f>
        <v>Paid Search</v>
      </c>
      <c r="I271" s="6" t="s">
        <v>25</v>
      </c>
      <c r="J271" s="6">
        <v>1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f>IF(O271&gt;0,1,0)</f>
        <v>0</v>
      </c>
      <c r="Q271" s="6">
        <v>0</v>
      </c>
      <c r="S271" s="6">
        <v>62</v>
      </c>
      <c r="T271" s="6">
        <f>IF(S271="",MEDIAN($S$2:$S$1409),S271)</f>
        <v>62</v>
      </c>
    </row>
    <row r="272" spans="1:20" ht="15" customHeight="1">
      <c r="A272" s="6" t="s">
        <v>306</v>
      </c>
      <c r="B272" s="7">
        <v>45701</v>
      </c>
      <c r="C272" s="6" t="s">
        <v>21</v>
      </c>
      <c r="D272" s="6" t="s">
        <v>32</v>
      </c>
      <c r="E272" s="6" t="s">
        <v>23</v>
      </c>
      <c r="F272" s="6" t="str">
        <f>IF(E272="","Unknown",E272)</f>
        <v>Desktop</v>
      </c>
      <c r="G272" s="6" t="s">
        <v>43</v>
      </c>
      <c r="H272" s="6" t="str">
        <f>IF(G272="","Unknown",G272)</f>
        <v>Referral</v>
      </c>
      <c r="I272" s="6" t="s">
        <v>30</v>
      </c>
      <c r="J272" s="6">
        <v>1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f>IF(O272&gt;0,1,0)</f>
        <v>0</v>
      </c>
      <c r="Q272" s="6">
        <v>0</v>
      </c>
      <c r="S272" s="6">
        <v>29.3</v>
      </c>
      <c r="T272" s="6">
        <f>IF(S272="",MEDIAN($S$2:$S$1409),S272)</f>
        <v>29.3</v>
      </c>
    </row>
    <row r="273" spans="1:20" ht="15" customHeight="1">
      <c r="A273" s="6" t="s">
        <v>307</v>
      </c>
      <c r="B273" s="7">
        <v>45733</v>
      </c>
      <c r="C273" s="6" t="s">
        <v>21</v>
      </c>
      <c r="D273" s="6" t="s">
        <v>27</v>
      </c>
      <c r="E273" s="6" t="s">
        <v>23</v>
      </c>
      <c r="F273" s="6" t="str">
        <f>IF(E273="","Unknown",E273)</f>
        <v>Desktop</v>
      </c>
      <c r="G273" s="6" t="s">
        <v>29</v>
      </c>
      <c r="H273" s="6" t="str">
        <f>IF(G273="","Unknown",G273)</f>
        <v>Organic</v>
      </c>
      <c r="I273" s="6" t="s">
        <v>30</v>
      </c>
      <c r="J273" s="6">
        <v>1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f>IF(O273&gt;0,1,0)</f>
        <v>0</v>
      </c>
      <c r="Q273" s="6">
        <v>0</v>
      </c>
      <c r="S273" s="6">
        <v>67.900000000000006</v>
      </c>
      <c r="T273" s="6">
        <f>IF(S273="",MEDIAN($S$2:$S$1409),S273)</f>
        <v>67.900000000000006</v>
      </c>
    </row>
    <row r="274" spans="1:20" ht="15" customHeight="1">
      <c r="A274" s="6" t="s">
        <v>308</v>
      </c>
      <c r="B274" s="7">
        <v>45787</v>
      </c>
      <c r="C274" s="6" t="s">
        <v>21</v>
      </c>
      <c r="D274" s="6" t="s">
        <v>22</v>
      </c>
      <c r="E274" s="6" t="s">
        <v>28</v>
      </c>
      <c r="F274" s="6" t="str">
        <f>IF(E274="","Unknown",E274)</f>
        <v>Mobile</v>
      </c>
      <c r="G274" s="6" t="s">
        <v>43</v>
      </c>
      <c r="H274" s="6" t="str">
        <f>IF(G274="","Unknown",G274)</f>
        <v>Referral</v>
      </c>
      <c r="I274" s="6" t="s">
        <v>30</v>
      </c>
      <c r="J274" s="6">
        <v>1</v>
      </c>
      <c r="K274" s="6">
        <v>1</v>
      </c>
      <c r="L274" s="6">
        <v>1</v>
      </c>
      <c r="M274" s="6">
        <v>0</v>
      </c>
      <c r="N274" s="6">
        <v>0</v>
      </c>
      <c r="O274" s="6">
        <v>0</v>
      </c>
      <c r="P274" s="6">
        <f>IF(O274&gt;0,1,0)</f>
        <v>0</v>
      </c>
      <c r="Q274" s="6">
        <v>0</v>
      </c>
      <c r="S274" s="6">
        <v>67.599999999999994</v>
      </c>
      <c r="T274" s="6">
        <f>IF(S274="",MEDIAN($S$2:$S$1409),S274)</f>
        <v>67.599999999999994</v>
      </c>
    </row>
    <row r="275" spans="1:20" ht="15" customHeight="1">
      <c r="A275" s="6" t="s">
        <v>309</v>
      </c>
      <c r="B275" s="7">
        <v>45784</v>
      </c>
      <c r="C275" s="6" t="s">
        <v>21</v>
      </c>
      <c r="D275" s="6" t="s">
        <v>36</v>
      </c>
      <c r="E275" s="6" t="s">
        <v>28</v>
      </c>
      <c r="F275" s="6" t="str">
        <f>IF(E275="","Unknown",E275)</f>
        <v>Mobile</v>
      </c>
      <c r="G275" s="6" t="s">
        <v>33</v>
      </c>
      <c r="H275" s="6" t="str">
        <f>IF(G275="","Unknown",G275)</f>
        <v>Paid Search</v>
      </c>
      <c r="I275" s="6" t="s">
        <v>25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f>IF(O275&gt;0,1,0)</f>
        <v>0</v>
      </c>
      <c r="Q275" s="6">
        <v>0</v>
      </c>
      <c r="S275" s="6">
        <v>67.400000000000006</v>
      </c>
      <c r="T275" s="6">
        <f>IF(S275="",MEDIAN($S$2:$S$1409),S275)</f>
        <v>67.400000000000006</v>
      </c>
    </row>
    <row r="276" spans="1:20" ht="15" customHeight="1">
      <c r="A276" s="6" t="s">
        <v>310</v>
      </c>
      <c r="B276" s="7">
        <v>45714</v>
      </c>
      <c r="C276" s="6" t="s">
        <v>21</v>
      </c>
      <c r="D276" s="6" t="s">
        <v>27</v>
      </c>
      <c r="E276" s="6" t="s">
        <v>23</v>
      </c>
      <c r="F276" s="6" t="str">
        <f>IF(E276="","Unknown",E276)</f>
        <v>Desktop</v>
      </c>
      <c r="G276" s="6" t="s">
        <v>33</v>
      </c>
      <c r="H276" s="6" t="str">
        <f>IF(G276="","Unknown",G276)</f>
        <v>Paid Search</v>
      </c>
      <c r="I276" s="6" t="s">
        <v>34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2</v>
      </c>
      <c r="P276" s="6">
        <f>IF(O276&gt;0,1,0)</f>
        <v>1</v>
      </c>
      <c r="Q276" s="6">
        <v>0</v>
      </c>
      <c r="S276" s="6">
        <v>53</v>
      </c>
      <c r="T276" s="6">
        <f>IF(S276="",MEDIAN($S$2:$S$1409),S276)</f>
        <v>53</v>
      </c>
    </row>
    <row r="277" spans="1:20" ht="15" customHeight="1">
      <c r="A277" s="6" t="s">
        <v>311</v>
      </c>
      <c r="B277" s="7">
        <v>45788</v>
      </c>
      <c r="C277" s="6" t="s">
        <v>21</v>
      </c>
      <c r="D277" s="6" t="s">
        <v>22</v>
      </c>
      <c r="E277" s="6" t="s">
        <v>28</v>
      </c>
      <c r="F277" s="6" t="str">
        <f>IF(E277="","Unknown",E277)</f>
        <v>Mobile</v>
      </c>
      <c r="G277" s="6" t="s">
        <v>29</v>
      </c>
      <c r="H277" s="6" t="str">
        <f>IF(G277="","Unknown",G277)</f>
        <v>Organic</v>
      </c>
      <c r="I277" s="6" t="s">
        <v>25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f>IF(O277&gt;0,1,0)</f>
        <v>0</v>
      </c>
      <c r="Q277" s="6">
        <v>0</v>
      </c>
      <c r="S277" s="6">
        <v>65.5</v>
      </c>
      <c r="T277" s="6">
        <f>IF(S277="",MEDIAN($S$2:$S$1409),S277)</f>
        <v>65.5</v>
      </c>
    </row>
    <row r="278" spans="1:20" ht="15" customHeight="1">
      <c r="A278" s="6" t="s">
        <v>312</v>
      </c>
      <c r="B278" s="7">
        <v>45736</v>
      </c>
      <c r="C278" s="6" t="s">
        <v>21</v>
      </c>
      <c r="D278" s="6" t="s">
        <v>36</v>
      </c>
      <c r="E278" s="6" t="s">
        <v>28</v>
      </c>
      <c r="F278" s="6" t="str">
        <f>IF(E278="","Unknown",E278)</f>
        <v>Mobile</v>
      </c>
      <c r="G278" s="6" t="s">
        <v>29</v>
      </c>
      <c r="H278" s="6" t="str">
        <f>IF(G278="","Unknown",G278)</f>
        <v>Organic</v>
      </c>
      <c r="I278" s="6" t="s">
        <v>25</v>
      </c>
      <c r="J278" s="6">
        <v>1</v>
      </c>
      <c r="K278" s="6">
        <v>1</v>
      </c>
      <c r="L278" s="6">
        <v>0</v>
      </c>
      <c r="M278" s="6">
        <v>0</v>
      </c>
      <c r="N278" s="6">
        <v>0</v>
      </c>
      <c r="O278" s="6">
        <v>0</v>
      </c>
      <c r="P278" s="6">
        <f>IF(O278&gt;0,1,0)</f>
        <v>0</v>
      </c>
      <c r="Q278" s="6">
        <v>0</v>
      </c>
      <c r="S278" s="6">
        <v>49.6</v>
      </c>
      <c r="T278" s="6">
        <f>IF(S278="",MEDIAN($S$2:$S$1409),S278)</f>
        <v>49.6</v>
      </c>
    </row>
    <row r="279" spans="1:20" ht="15" customHeight="1">
      <c r="A279" s="6" t="s">
        <v>313</v>
      </c>
      <c r="B279" s="7">
        <v>45676</v>
      </c>
      <c r="C279" s="6" t="s">
        <v>21</v>
      </c>
      <c r="D279" s="6" t="s">
        <v>22</v>
      </c>
      <c r="E279" s="6" t="s">
        <v>28</v>
      </c>
      <c r="F279" s="6" t="str">
        <f>IF(E279="","Unknown",E279)</f>
        <v>Mobile</v>
      </c>
      <c r="G279" s="6" t="s">
        <v>24</v>
      </c>
      <c r="H279" s="6" t="str">
        <f>IF(G279="","Unknown",G279)</f>
        <v>Email</v>
      </c>
      <c r="I279" s="6" t="s">
        <v>30</v>
      </c>
      <c r="J279" s="6">
        <v>1</v>
      </c>
      <c r="K279" s="6">
        <v>1</v>
      </c>
      <c r="L279" s="6">
        <v>0</v>
      </c>
      <c r="M279" s="6">
        <v>0</v>
      </c>
      <c r="N279" s="6">
        <v>0</v>
      </c>
      <c r="O279" s="6">
        <v>0</v>
      </c>
      <c r="P279" s="6">
        <f>IF(O279&gt;0,1,0)</f>
        <v>0</v>
      </c>
      <c r="Q279" s="6">
        <v>0</v>
      </c>
      <c r="S279" s="6">
        <v>74.5</v>
      </c>
      <c r="T279" s="6">
        <f>IF(S279="",MEDIAN($S$2:$S$1409),S279)</f>
        <v>74.5</v>
      </c>
    </row>
    <row r="280" spans="1:20" ht="15" customHeight="1">
      <c r="A280" s="6" t="s">
        <v>314</v>
      </c>
      <c r="B280" s="7">
        <v>45724</v>
      </c>
      <c r="C280" s="6" t="s">
        <v>21</v>
      </c>
      <c r="D280" s="6" t="s">
        <v>22</v>
      </c>
      <c r="E280" s="6" t="s">
        <v>38</v>
      </c>
      <c r="F280" s="6" t="str">
        <f>IF(E280="","Unknown",E280)</f>
        <v>Tablet</v>
      </c>
      <c r="G280" s="6" t="s">
        <v>33</v>
      </c>
      <c r="H280" s="6" t="str">
        <f>IF(G280="","Unknown",G280)</f>
        <v>Paid Search</v>
      </c>
      <c r="I280" s="6" t="s">
        <v>34</v>
      </c>
      <c r="J280" s="6">
        <v>1</v>
      </c>
      <c r="K280" s="6">
        <v>0</v>
      </c>
      <c r="L280" s="6">
        <v>0</v>
      </c>
      <c r="M280" s="6">
        <v>0</v>
      </c>
      <c r="N280" s="6">
        <v>0</v>
      </c>
      <c r="O280" s="6">
        <v>1</v>
      </c>
      <c r="P280" s="6">
        <f>IF(O280&gt;0,1,0)</f>
        <v>1</v>
      </c>
      <c r="Q280" s="6">
        <v>0</v>
      </c>
      <c r="S280" s="6">
        <v>46.9</v>
      </c>
      <c r="T280" s="6">
        <f>IF(S280="",MEDIAN($S$2:$S$1409),S280)</f>
        <v>46.9</v>
      </c>
    </row>
    <row r="281" spans="1:20" ht="15" customHeight="1">
      <c r="A281" s="6" t="s">
        <v>315</v>
      </c>
      <c r="B281" s="7">
        <v>45772</v>
      </c>
      <c r="C281" s="6" t="s">
        <v>21</v>
      </c>
      <c r="D281" s="6" t="s">
        <v>22</v>
      </c>
      <c r="E281" s="6" t="s">
        <v>28</v>
      </c>
      <c r="F281" s="6" t="str">
        <f>IF(E281="","Unknown",E281)</f>
        <v>Mobile</v>
      </c>
      <c r="G281" s="6" t="s">
        <v>29</v>
      </c>
      <c r="H281" s="6" t="str">
        <f>IF(G281="","Unknown",G281)</f>
        <v>Organic</v>
      </c>
      <c r="I281" s="6" t="s">
        <v>30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f>IF(O281&gt;0,1,0)</f>
        <v>0</v>
      </c>
      <c r="Q281" s="6">
        <v>0</v>
      </c>
      <c r="S281" s="6">
        <v>87.1</v>
      </c>
      <c r="T281" s="6">
        <f>IF(S281="",MEDIAN($S$2:$S$1409),S281)</f>
        <v>87.1</v>
      </c>
    </row>
    <row r="282" spans="1:20" ht="15" customHeight="1">
      <c r="A282" s="6" t="s">
        <v>316</v>
      </c>
      <c r="B282" s="7">
        <v>45751</v>
      </c>
      <c r="C282" s="6" t="s">
        <v>21</v>
      </c>
      <c r="D282" s="6" t="s">
        <v>22</v>
      </c>
      <c r="E282" s="6" t="s">
        <v>23</v>
      </c>
      <c r="F282" s="6" t="str">
        <f>IF(E282="","Unknown",E282)</f>
        <v>Desktop</v>
      </c>
      <c r="G282" s="6" t="s">
        <v>29</v>
      </c>
      <c r="H282" s="6" t="str">
        <f>IF(G282="","Unknown",G282)</f>
        <v>Organic</v>
      </c>
      <c r="I282" s="6" t="s">
        <v>30</v>
      </c>
      <c r="J282" s="6">
        <v>1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f>IF(O282&gt;0,1,0)</f>
        <v>0</v>
      </c>
      <c r="Q282" s="6">
        <v>0</v>
      </c>
      <c r="S282" s="6">
        <v>56</v>
      </c>
      <c r="T282" s="6">
        <f>IF(S282="",MEDIAN($S$2:$S$1409),S282)</f>
        <v>56</v>
      </c>
    </row>
    <row r="283" spans="1:20" ht="15" customHeight="1">
      <c r="A283" s="6" t="s">
        <v>317</v>
      </c>
      <c r="B283" s="7">
        <v>45778</v>
      </c>
      <c r="C283" s="6" t="s">
        <v>21</v>
      </c>
      <c r="D283" s="6" t="s">
        <v>32</v>
      </c>
      <c r="E283" s="6" t="s">
        <v>28</v>
      </c>
      <c r="F283" s="6" t="str">
        <f>IF(E283="","Unknown",E283)</f>
        <v>Mobile</v>
      </c>
      <c r="G283" s="6" t="s">
        <v>33</v>
      </c>
      <c r="H283" s="6" t="str">
        <f>IF(G283="","Unknown",G283)</f>
        <v>Paid Search</v>
      </c>
      <c r="I283" s="6" t="s">
        <v>34</v>
      </c>
      <c r="J283" s="6">
        <v>1</v>
      </c>
      <c r="K283" s="6">
        <v>0</v>
      </c>
      <c r="L283" s="6">
        <v>0</v>
      </c>
      <c r="M283" s="6">
        <v>0</v>
      </c>
      <c r="N283" s="6">
        <v>0</v>
      </c>
      <c r="O283" s="6">
        <v>1</v>
      </c>
      <c r="P283" s="6">
        <f>IF(O283&gt;0,1,0)</f>
        <v>1</v>
      </c>
      <c r="Q283" s="6">
        <v>0</v>
      </c>
      <c r="S283" s="6">
        <v>61.7</v>
      </c>
      <c r="T283" s="6">
        <f>IF(S283="",MEDIAN($S$2:$S$1409),S283)</f>
        <v>61.7</v>
      </c>
    </row>
    <row r="284" spans="1:20" ht="15" customHeight="1">
      <c r="A284" s="6" t="s">
        <v>318</v>
      </c>
      <c r="B284" s="7">
        <v>45678</v>
      </c>
      <c r="C284" s="6" t="s">
        <v>21</v>
      </c>
      <c r="D284" s="6" t="s">
        <v>36</v>
      </c>
      <c r="E284" s="6" t="s">
        <v>28</v>
      </c>
      <c r="F284" s="6" t="str">
        <f>IF(E284="","Unknown",E284)</f>
        <v>Mobile</v>
      </c>
      <c r="G284" s="6" t="s">
        <v>45</v>
      </c>
      <c r="H284" s="6" t="str">
        <f>IF(G284="","Unknown",G284)</f>
        <v>Social</v>
      </c>
      <c r="I284" s="6" t="s">
        <v>30</v>
      </c>
      <c r="J284" s="6">
        <v>1</v>
      </c>
      <c r="K284" s="6">
        <v>0</v>
      </c>
      <c r="L284" s="6">
        <v>0</v>
      </c>
      <c r="M284" s="6">
        <v>0</v>
      </c>
      <c r="N284" s="6">
        <v>0</v>
      </c>
      <c r="O284" s="6">
        <v>1</v>
      </c>
      <c r="P284" s="6">
        <f>IF(O284&gt;0,1,0)</f>
        <v>1</v>
      </c>
      <c r="Q284" s="6">
        <v>0</v>
      </c>
      <c r="S284" s="6">
        <v>70.5</v>
      </c>
      <c r="T284" s="6">
        <f>IF(S284="",MEDIAN($S$2:$S$1409),S284)</f>
        <v>70.5</v>
      </c>
    </row>
    <row r="285" spans="1:20" ht="15" customHeight="1">
      <c r="A285" s="6" t="s">
        <v>319</v>
      </c>
      <c r="B285" s="7">
        <v>45698</v>
      </c>
      <c r="C285" s="6" t="s">
        <v>21</v>
      </c>
      <c r="D285" s="6" t="s">
        <v>22</v>
      </c>
      <c r="E285" s="6" t="s">
        <v>23</v>
      </c>
      <c r="F285" s="6" t="str">
        <f>IF(E285="","Unknown",E285)</f>
        <v>Desktop</v>
      </c>
      <c r="G285" s="6" t="s">
        <v>43</v>
      </c>
      <c r="H285" s="6" t="str">
        <f>IF(G285="","Unknown",G285)</f>
        <v>Referral</v>
      </c>
      <c r="I285" s="6" t="s">
        <v>25</v>
      </c>
      <c r="J285" s="6">
        <v>1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f>IF(O285&gt;0,1,0)</f>
        <v>0</v>
      </c>
      <c r="Q285" s="6">
        <v>0</v>
      </c>
      <c r="S285" s="6">
        <v>33.4</v>
      </c>
      <c r="T285" s="6">
        <f>IF(S285="",MEDIAN($S$2:$S$1409),S285)</f>
        <v>33.4</v>
      </c>
    </row>
    <row r="286" spans="1:20" ht="15" customHeight="1">
      <c r="A286" s="6" t="s">
        <v>320</v>
      </c>
      <c r="B286" s="7">
        <v>45783</v>
      </c>
      <c r="C286" s="6" t="s">
        <v>21</v>
      </c>
      <c r="D286" s="6" t="s">
        <v>36</v>
      </c>
      <c r="E286" s="6" t="s">
        <v>23</v>
      </c>
      <c r="F286" s="6" t="str">
        <f>IF(E286="","Unknown",E286)</f>
        <v>Desktop</v>
      </c>
      <c r="G286" s="6" t="s">
        <v>29</v>
      </c>
      <c r="H286" s="6" t="str">
        <f>IF(G286="","Unknown",G286)</f>
        <v>Organic</v>
      </c>
      <c r="I286" s="6" t="s">
        <v>30</v>
      </c>
      <c r="J286" s="6">
        <v>1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f>IF(O286&gt;0,1,0)</f>
        <v>0</v>
      </c>
      <c r="Q286" s="6">
        <v>0</v>
      </c>
      <c r="S286" s="6">
        <v>57.5</v>
      </c>
      <c r="T286" s="6">
        <f>IF(S286="",MEDIAN($S$2:$S$1409),S286)</f>
        <v>57.5</v>
      </c>
    </row>
    <row r="287" spans="1:20" ht="15" customHeight="1">
      <c r="A287" s="6" t="s">
        <v>321</v>
      </c>
      <c r="B287" s="7">
        <v>45696</v>
      </c>
      <c r="C287" s="6" t="s">
        <v>21</v>
      </c>
      <c r="D287" s="6" t="s">
        <v>22</v>
      </c>
      <c r="E287" s="6" t="s">
        <v>23</v>
      </c>
      <c r="F287" s="6" t="str">
        <f>IF(E287="","Unknown",E287)</f>
        <v>Desktop</v>
      </c>
      <c r="G287" s="6" t="s">
        <v>33</v>
      </c>
      <c r="H287" s="6" t="str">
        <f>IF(G287="","Unknown",G287)</f>
        <v>Paid Search</v>
      </c>
      <c r="I287" s="6" t="s">
        <v>25</v>
      </c>
      <c r="J287" s="6">
        <v>1</v>
      </c>
      <c r="K287" s="6">
        <v>1</v>
      </c>
      <c r="L287" s="6">
        <v>0</v>
      </c>
      <c r="M287" s="6">
        <v>0</v>
      </c>
      <c r="N287" s="6">
        <v>0</v>
      </c>
      <c r="O287" s="6">
        <v>0</v>
      </c>
      <c r="P287" s="6">
        <f>IF(O287&gt;0,1,0)</f>
        <v>0</v>
      </c>
      <c r="Q287" s="6">
        <v>0</v>
      </c>
      <c r="S287" s="6">
        <v>85.7</v>
      </c>
      <c r="T287" s="6">
        <f>IF(S287="",MEDIAN($S$2:$S$1409),S287)</f>
        <v>85.7</v>
      </c>
    </row>
    <row r="288" spans="1:20" ht="15" customHeight="1">
      <c r="A288" s="6" t="s">
        <v>322</v>
      </c>
      <c r="B288" s="7">
        <v>45808</v>
      </c>
      <c r="C288" s="6" t="s">
        <v>21</v>
      </c>
      <c r="D288" s="6" t="s">
        <v>32</v>
      </c>
      <c r="E288" s="6" t="s">
        <v>28</v>
      </c>
      <c r="F288" s="6" t="str">
        <f>IF(E288="","Unknown",E288)</f>
        <v>Mobile</v>
      </c>
      <c r="G288" s="6" t="s">
        <v>45</v>
      </c>
      <c r="H288" s="6" t="str">
        <f>IF(G288="","Unknown",G288)</f>
        <v>Social</v>
      </c>
      <c r="I288" s="6" t="s">
        <v>30</v>
      </c>
      <c r="J288" s="6">
        <v>1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f>IF(O288&gt;0,1,0)</f>
        <v>0</v>
      </c>
      <c r="Q288" s="6">
        <v>0</v>
      </c>
      <c r="S288" s="6">
        <v>41.9</v>
      </c>
      <c r="T288" s="6">
        <f>IF(S288="",MEDIAN($S$2:$S$1409),S288)</f>
        <v>41.9</v>
      </c>
    </row>
    <row r="289" spans="1:20" ht="15" customHeight="1">
      <c r="A289" s="6" t="s">
        <v>323</v>
      </c>
      <c r="B289" s="7">
        <v>45695</v>
      </c>
      <c r="C289" s="6" t="s">
        <v>21</v>
      </c>
      <c r="D289" s="6" t="s">
        <v>27</v>
      </c>
      <c r="E289" s="6" t="s">
        <v>28</v>
      </c>
      <c r="F289" s="6" t="str">
        <f>IF(E289="","Unknown",E289)</f>
        <v>Mobile</v>
      </c>
      <c r="G289" s="6" t="s">
        <v>24</v>
      </c>
      <c r="H289" s="6" t="str">
        <f>IF(G289="","Unknown",G289)</f>
        <v>Email</v>
      </c>
      <c r="I289" s="6" t="s">
        <v>25</v>
      </c>
      <c r="J289" s="6">
        <v>1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f>IF(O289&gt;0,1,0)</f>
        <v>0</v>
      </c>
      <c r="Q289" s="6">
        <v>0</v>
      </c>
      <c r="S289" s="6">
        <v>70.2</v>
      </c>
      <c r="T289" s="6">
        <f>IF(S289="",MEDIAN($S$2:$S$1409),S289)</f>
        <v>70.2</v>
      </c>
    </row>
    <row r="290" spans="1:20" ht="15" customHeight="1">
      <c r="A290" s="6" t="s">
        <v>324</v>
      </c>
      <c r="B290" s="7">
        <v>45698</v>
      </c>
      <c r="C290" s="6" t="s">
        <v>21</v>
      </c>
      <c r="D290" s="6" t="s">
        <v>22</v>
      </c>
      <c r="E290" s="6" t="s">
        <v>28</v>
      </c>
      <c r="F290" s="6" t="str">
        <f>IF(E290="","Unknown",E290)</f>
        <v>Mobile</v>
      </c>
      <c r="G290" s="6" t="s">
        <v>45</v>
      </c>
      <c r="H290" s="6" t="str">
        <f>IF(G290="","Unknown",G290)</f>
        <v>Social</v>
      </c>
      <c r="I290" s="6" t="s">
        <v>30</v>
      </c>
      <c r="J290" s="6">
        <v>1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f>IF(O290&gt;0,1,0)</f>
        <v>0</v>
      </c>
      <c r="Q290" s="6">
        <v>0</v>
      </c>
      <c r="S290" s="6">
        <v>42.6</v>
      </c>
      <c r="T290" s="6">
        <f>IF(S290="",MEDIAN($S$2:$S$1409),S290)</f>
        <v>42.6</v>
      </c>
    </row>
    <row r="291" spans="1:20" ht="15" customHeight="1">
      <c r="A291" s="6" t="s">
        <v>325</v>
      </c>
      <c r="B291" s="7">
        <v>45688</v>
      </c>
      <c r="C291" s="6" t="s">
        <v>21</v>
      </c>
      <c r="D291" s="6" t="s">
        <v>27</v>
      </c>
      <c r="E291" s="6" t="s">
        <v>28</v>
      </c>
      <c r="F291" s="6" t="str">
        <f>IF(E291="","Unknown",E291)</f>
        <v>Mobile</v>
      </c>
      <c r="G291" s="6" t="s">
        <v>45</v>
      </c>
      <c r="H291" s="6" t="str">
        <f>IF(G291="","Unknown",G291)</f>
        <v>Social</v>
      </c>
      <c r="I291" s="6" t="s">
        <v>25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2</v>
      </c>
      <c r="P291" s="6">
        <f>IF(O291&gt;0,1,0)</f>
        <v>1</v>
      </c>
      <c r="Q291" s="6">
        <v>0</v>
      </c>
      <c r="S291" s="6">
        <v>30.4</v>
      </c>
      <c r="T291" s="6">
        <f>IF(S291="",MEDIAN($S$2:$S$1409),S291)</f>
        <v>30.4</v>
      </c>
    </row>
    <row r="292" spans="1:20" ht="15" customHeight="1">
      <c r="A292" s="6" t="s">
        <v>326</v>
      </c>
      <c r="B292" s="7">
        <v>45732</v>
      </c>
      <c r="C292" s="6" t="s">
        <v>21</v>
      </c>
      <c r="D292" s="6" t="s">
        <v>32</v>
      </c>
      <c r="E292" s="6" t="s">
        <v>28</v>
      </c>
      <c r="F292" s="6" t="str">
        <f>IF(E292="","Unknown",E292)</f>
        <v>Mobile</v>
      </c>
      <c r="G292" s="6" t="s">
        <v>33</v>
      </c>
      <c r="H292" s="6" t="str">
        <f>IF(G292="","Unknown",G292)</f>
        <v>Paid Search</v>
      </c>
      <c r="I292" s="6" t="s">
        <v>25</v>
      </c>
      <c r="J292" s="6">
        <v>1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f>IF(O292&gt;0,1,0)</f>
        <v>0</v>
      </c>
      <c r="Q292" s="6">
        <v>0</v>
      </c>
      <c r="S292" s="6">
        <v>63.7</v>
      </c>
      <c r="T292" s="6">
        <f>IF(S292="",MEDIAN($S$2:$S$1409),S292)</f>
        <v>63.7</v>
      </c>
    </row>
    <row r="293" spans="1:20" ht="15" customHeight="1">
      <c r="A293" s="6" t="s">
        <v>327</v>
      </c>
      <c r="B293" s="7">
        <v>45771</v>
      </c>
      <c r="C293" s="6" t="s">
        <v>21</v>
      </c>
      <c r="D293" s="6" t="s">
        <v>36</v>
      </c>
      <c r="E293" s="6" t="s">
        <v>28</v>
      </c>
      <c r="F293" s="6" t="str">
        <f>IF(E293="","Unknown",E293)</f>
        <v>Mobile</v>
      </c>
      <c r="G293" s="6" t="s">
        <v>45</v>
      </c>
      <c r="H293" s="6" t="str">
        <f>IF(G293="","Unknown",G293)</f>
        <v>Social</v>
      </c>
      <c r="I293" s="6" t="s">
        <v>25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f>IF(O293&gt;0,1,0)</f>
        <v>0</v>
      </c>
      <c r="Q293" s="6">
        <v>0</v>
      </c>
      <c r="S293" s="6">
        <v>42.7</v>
      </c>
      <c r="T293" s="6">
        <f>IF(S293="",MEDIAN($S$2:$S$1409),S293)</f>
        <v>42.7</v>
      </c>
    </row>
    <row r="294" spans="1:20" ht="15" customHeight="1">
      <c r="A294" s="6" t="s">
        <v>328</v>
      </c>
      <c r="B294" s="7">
        <v>45685</v>
      </c>
      <c r="C294" s="6" t="s">
        <v>21</v>
      </c>
      <c r="D294" s="6" t="s">
        <v>22</v>
      </c>
      <c r="E294" s="6" t="s">
        <v>28</v>
      </c>
      <c r="F294" s="6" t="str">
        <f>IF(E294="","Unknown",E294)</f>
        <v>Mobile</v>
      </c>
      <c r="G294" s="6" t="s">
        <v>29</v>
      </c>
      <c r="H294" s="6" t="str">
        <f>IF(G294="","Unknown",G294)</f>
        <v>Organic</v>
      </c>
      <c r="I294" s="6" t="s">
        <v>30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f>IF(O294&gt;0,1,0)</f>
        <v>0</v>
      </c>
      <c r="Q294" s="6">
        <v>0</v>
      </c>
      <c r="S294" s="6">
        <v>74.3</v>
      </c>
      <c r="T294" s="6">
        <f>IF(S294="",MEDIAN($S$2:$S$1409),S294)</f>
        <v>74.3</v>
      </c>
    </row>
    <row r="295" spans="1:20" ht="15" customHeight="1">
      <c r="A295" s="6" t="s">
        <v>329</v>
      </c>
      <c r="B295" s="7">
        <v>45704</v>
      </c>
      <c r="C295" s="6" t="s">
        <v>21</v>
      </c>
      <c r="D295" s="6" t="s">
        <v>27</v>
      </c>
      <c r="E295" s="6" t="s">
        <v>23</v>
      </c>
      <c r="F295" s="6" t="str">
        <f>IF(E295="","Unknown",E295)</f>
        <v>Desktop</v>
      </c>
      <c r="G295" s="6" t="s">
        <v>24</v>
      </c>
      <c r="H295" s="6" t="str">
        <f>IF(G295="","Unknown",G295)</f>
        <v>Email</v>
      </c>
      <c r="I295" s="6" t="s">
        <v>30</v>
      </c>
      <c r="J295" s="6">
        <v>1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f>IF(O295&gt;0,1,0)</f>
        <v>0</v>
      </c>
      <c r="Q295" s="6">
        <v>0</v>
      </c>
      <c r="S295" s="6">
        <v>40.6</v>
      </c>
      <c r="T295" s="6">
        <f>IF(S295="",MEDIAN($S$2:$S$1409),S295)</f>
        <v>40.6</v>
      </c>
    </row>
    <row r="296" spans="1:20" ht="15" customHeight="1">
      <c r="A296" s="6" t="s">
        <v>330</v>
      </c>
      <c r="B296" s="7">
        <v>45739</v>
      </c>
      <c r="C296" s="6" t="s">
        <v>21</v>
      </c>
      <c r="D296" s="6" t="s">
        <v>32</v>
      </c>
      <c r="E296" s="6" t="s">
        <v>28</v>
      </c>
      <c r="F296" s="6" t="str">
        <f>IF(E296="","Unknown",E296)</f>
        <v>Mobile</v>
      </c>
      <c r="G296" s="6" t="s">
        <v>29</v>
      </c>
      <c r="H296" s="6" t="str">
        <f>IF(G296="","Unknown",G296)</f>
        <v>Organic</v>
      </c>
      <c r="I296" s="6" t="s">
        <v>34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f>IF(O296&gt;0,1,0)</f>
        <v>0</v>
      </c>
      <c r="Q296" s="6">
        <v>0</v>
      </c>
      <c r="S296" s="6">
        <v>67</v>
      </c>
      <c r="T296" s="6">
        <f>IF(S296="",MEDIAN($S$2:$S$1409),S296)</f>
        <v>67</v>
      </c>
    </row>
    <row r="297" spans="1:20" ht="15" customHeight="1">
      <c r="A297" s="6" t="s">
        <v>331</v>
      </c>
      <c r="B297" s="7">
        <v>45808</v>
      </c>
      <c r="C297" s="6" t="s">
        <v>21</v>
      </c>
      <c r="D297" s="6" t="s">
        <v>32</v>
      </c>
      <c r="E297" s="6" t="s">
        <v>28</v>
      </c>
      <c r="F297" s="6" t="str">
        <f>IF(E297="","Unknown",E297)</f>
        <v>Mobile</v>
      </c>
      <c r="G297" s="6" t="s">
        <v>33</v>
      </c>
      <c r="H297" s="6" t="str">
        <f>IF(G297="","Unknown",G297)</f>
        <v>Paid Search</v>
      </c>
      <c r="I297" s="6" t="s">
        <v>34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f>IF(O297&gt;0,1,0)</f>
        <v>0</v>
      </c>
      <c r="Q297" s="6">
        <v>0</v>
      </c>
      <c r="S297" s="6">
        <v>51</v>
      </c>
      <c r="T297" s="6">
        <f>IF(S297="",MEDIAN($S$2:$S$1409),S297)</f>
        <v>51</v>
      </c>
    </row>
    <row r="298" spans="1:20" ht="15" customHeight="1">
      <c r="A298" s="6" t="s">
        <v>332</v>
      </c>
      <c r="B298" s="7">
        <v>45760</v>
      </c>
      <c r="C298" s="6" t="s">
        <v>21</v>
      </c>
      <c r="D298" s="6" t="s">
        <v>27</v>
      </c>
      <c r="E298" s="6" t="s">
        <v>28</v>
      </c>
      <c r="F298" s="6" t="str">
        <f>IF(E298="","Unknown",E298)</f>
        <v>Mobile</v>
      </c>
      <c r="G298" s="6" t="s">
        <v>45</v>
      </c>
      <c r="H298" s="6" t="str">
        <f>IF(G298="","Unknown",G298)</f>
        <v>Social</v>
      </c>
      <c r="I298" s="6" t="s">
        <v>25</v>
      </c>
      <c r="J298" s="6">
        <v>1</v>
      </c>
      <c r="K298" s="6">
        <v>1</v>
      </c>
      <c r="L298" s="6">
        <v>0</v>
      </c>
      <c r="M298" s="6">
        <v>0</v>
      </c>
      <c r="N298" s="6">
        <v>0</v>
      </c>
      <c r="O298" s="6">
        <v>1</v>
      </c>
      <c r="P298" s="6">
        <f>IF(O298&gt;0,1,0)</f>
        <v>1</v>
      </c>
      <c r="Q298" s="6">
        <v>0</v>
      </c>
      <c r="S298" s="6">
        <v>54.8</v>
      </c>
      <c r="T298" s="6">
        <f>IF(S298="",MEDIAN($S$2:$S$1409),S298)</f>
        <v>54.8</v>
      </c>
    </row>
    <row r="299" spans="1:20" ht="15" customHeight="1">
      <c r="A299" s="6" t="s">
        <v>333</v>
      </c>
      <c r="B299" s="7">
        <v>45791</v>
      </c>
      <c r="C299" s="6" t="s">
        <v>21</v>
      </c>
      <c r="D299" s="6" t="s">
        <v>22</v>
      </c>
      <c r="E299" s="6" t="s">
        <v>38</v>
      </c>
      <c r="F299" s="6" t="str">
        <f>IF(E299="","Unknown",E299)</f>
        <v>Tablet</v>
      </c>
      <c r="G299" s="6" t="s">
        <v>24</v>
      </c>
      <c r="H299" s="6" t="str">
        <f>IF(G299="","Unknown",G299)</f>
        <v>Email</v>
      </c>
      <c r="I299" s="6" t="s">
        <v>25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f>IF(O299&gt;0,1,0)</f>
        <v>0</v>
      </c>
      <c r="Q299" s="6">
        <v>0</v>
      </c>
      <c r="S299" s="6">
        <v>40.799999999999997</v>
      </c>
      <c r="T299" s="6">
        <f>IF(S299="",MEDIAN($S$2:$S$1409),S299)</f>
        <v>40.799999999999997</v>
      </c>
    </row>
    <row r="300" spans="1:20" ht="15" customHeight="1">
      <c r="A300" s="6" t="s">
        <v>334</v>
      </c>
      <c r="B300" s="7">
        <v>45707</v>
      </c>
      <c r="C300" s="6" t="s">
        <v>21</v>
      </c>
      <c r="D300" s="6" t="s">
        <v>32</v>
      </c>
      <c r="E300" s="6" t="s">
        <v>28</v>
      </c>
      <c r="F300" s="6" t="str">
        <f>IF(E300="","Unknown",E300)</f>
        <v>Mobile</v>
      </c>
      <c r="G300" s="6" t="s">
        <v>33</v>
      </c>
      <c r="H300" s="6" t="str">
        <f>IF(G300="","Unknown",G300)</f>
        <v>Paid Search</v>
      </c>
      <c r="I300" s="6" t="s">
        <v>30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f>IF(O300&gt;0,1,0)</f>
        <v>0</v>
      </c>
      <c r="Q300" s="6">
        <v>0</v>
      </c>
      <c r="S300" s="6">
        <v>48.8</v>
      </c>
      <c r="T300" s="6">
        <f>IF(S300="",MEDIAN($S$2:$S$1409),S300)</f>
        <v>48.8</v>
      </c>
    </row>
    <row r="301" spans="1:20" ht="15" customHeight="1">
      <c r="A301" s="6" t="s">
        <v>335</v>
      </c>
      <c r="B301" s="7">
        <v>45681</v>
      </c>
      <c r="C301" s="6" t="s">
        <v>21</v>
      </c>
      <c r="D301" s="6" t="s">
        <v>36</v>
      </c>
      <c r="E301" s="6" t="s">
        <v>28</v>
      </c>
      <c r="F301" s="6" t="str">
        <f>IF(E301="","Unknown",E301)</f>
        <v>Mobile</v>
      </c>
      <c r="G301" s="6"/>
      <c r="H301" s="6" t="str">
        <f>IF(G301="","Unknown",G301)</f>
        <v>Unknown</v>
      </c>
      <c r="I301" s="6" t="s">
        <v>25</v>
      </c>
      <c r="J301" s="6">
        <v>1</v>
      </c>
      <c r="K301" s="6">
        <v>1</v>
      </c>
      <c r="L301" s="6">
        <v>1</v>
      </c>
      <c r="M301" s="6">
        <v>1</v>
      </c>
      <c r="N301" s="6">
        <v>1198.69</v>
      </c>
      <c r="O301" s="6">
        <v>1</v>
      </c>
      <c r="P301" s="6">
        <f>IF(O301&gt;0,1,0)</f>
        <v>1</v>
      </c>
      <c r="Q301" s="6">
        <v>0</v>
      </c>
      <c r="R301" s="6">
        <v>6</v>
      </c>
      <c r="S301" s="6">
        <v>88.9</v>
      </c>
      <c r="T301" s="6">
        <f>IF(S301="",MEDIAN($S$2:$S$1409),S301)</f>
        <v>88.9</v>
      </c>
    </row>
    <row r="302" spans="1:20" ht="15" customHeight="1">
      <c r="A302" s="6" t="s">
        <v>336</v>
      </c>
      <c r="B302" s="7">
        <v>45786</v>
      </c>
      <c r="C302" s="6" t="s">
        <v>21</v>
      </c>
      <c r="D302" s="6" t="s">
        <v>22</v>
      </c>
      <c r="E302" s="6" t="s">
        <v>28</v>
      </c>
      <c r="F302" s="6" t="str">
        <f>IF(E302="","Unknown",E302)</f>
        <v>Mobile</v>
      </c>
      <c r="G302" s="6" t="s">
        <v>24</v>
      </c>
      <c r="H302" s="6" t="str">
        <f>IF(G302="","Unknown",G302)</f>
        <v>Email</v>
      </c>
      <c r="I302" s="6" t="s">
        <v>25</v>
      </c>
      <c r="J302" s="6">
        <v>1</v>
      </c>
      <c r="K302" s="6">
        <v>1</v>
      </c>
      <c r="L302" s="6">
        <v>1</v>
      </c>
      <c r="M302" s="6">
        <v>0</v>
      </c>
      <c r="N302" s="6">
        <v>0</v>
      </c>
      <c r="O302" s="6">
        <v>1</v>
      </c>
      <c r="P302" s="6">
        <f>IF(O302&gt;0,1,0)</f>
        <v>1</v>
      </c>
      <c r="Q302" s="6">
        <v>0</v>
      </c>
      <c r="S302" s="6">
        <v>60.5</v>
      </c>
      <c r="T302" s="6">
        <f>IF(S302="",MEDIAN($S$2:$S$1409),S302)</f>
        <v>60.5</v>
      </c>
    </row>
    <row r="303" spans="1:20" ht="15" customHeight="1">
      <c r="A303" s="6" t="s">
        <v>337</v>
      </c>
      <c r="B303" s="7">
        <v>45699</v>
      </c>
      <c r="C303" s="6" t="s">
        <v>21</v>
      </c>
      <c r="D303" s="6" t="s">
        <v>22</v>
      </c>
      <c r="E303" s="6" t="s">
        <v>28</v>
      </c>
      <c r="F303" s="6" t="str">
        <f>IF(E303="","Unknown",E303)</f>
        <v>Mobile</v>
      </c>
      <c r="G303" s="6" t="s">
        <v>29</v>
      </c>
      <c r="H303" s="6" t="str">
        <f>IF(G303="","Unknown",G303)</f>
        <v>Organic</v>
      </c>
      <c r="I303" s="6" t="s">
        <v>25</v>
      </c>
      <c r="J303" s="6">
        <v>1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f>IF(O303&gt;0,1,0)</f>
        <v>0</v>
      </c>
      <c r="Q303" s="6">
        <v>0</v>
      </c>
      <c r="S303" s="6">
        <v>63.6</v>
      </c>
      <c r="T303" s="6">
        <f>IF(S303="",MEDIAN($S$2:$S$1409),S303)</f>
        <v>63.6</v>
      </c>
    </row>
    <row r="304" spans="1:20" ht="15" customHeight="1">
      <c r="A304" s="6" t="s">
        <v>338</v>
      </c>
      <c r="B304" s="7">
        <v>45714</v>
      </c>
      <c r="C304" s="6" t="s">
        <v>21</v>
      </c>
      <c r="D304" s="6" t="s">
        <v>22</v>
      </c>
      <c r="E304" s="6" t="s">
        <v>23</v>
      </c>
      <c r="F304" s="6" t="str">
        <f>IF(E304="","Unknown",E304)</f>
        <v>Desktop</v>
      </c>
      <c r="G304" s="6" t="s">
        <v>29</v>
      </c>
      <c r="H304" s="6" t="str">
        <f>IF(G304="","Unknown",G304)</f>
        <v>Organic</v>
      </c>
      <c r="I304" s="6" t="s">
        <v>25</v>
      </c>
      <c r="J304" s="6">
        <v>1</v>
      </c>
      <c r="K304" s="6">
        <v>1</v>
      </c>
      <c r="L304" s="6">
        <v>1</v>
      </c>
      <c r="M304" s="6">
        <v>1</v>
      </c>
      <c r="N304" s="6">
        <v>6788.95</v>
      </c>
      <c r="O304" s="6">
        <v>0</v>
      </c>
      <c r="P304" s="6">
        <f>IF(O304&gt;0,1,0)</f>
        <v>0</v>
      </c>
      <c r="Q304" s="6">
        <v>0</v>
      </c>
      <c r="R304" s="6">
        <v>17</v>
      </c>
      <c r="S304" s="6">
        <v>58.4</v>
      </c>
      <c r="T304" s="6">
        <f>IF(S304="",MEDIAN($S$2:$S$1409),S304)</f>
        <v>58.4</v>
      </c>
    </row>
    <row r="305" spans="1:20" ht="15" customHeight="1">
      <c r="A305" s="6" t="s">
        <v>339</v>
      </c>
      <c r="B305" s="7">
        <v>45700</v>
      </c>
      <c r="C305" s="6" t="s">
        <v>21</v>
      </c>
      <c r="D305" s="6" t="s">
        <v>36</v>
      </c>
      <c r="E305" s="6" t="s">
        <v>28</v>
      </c>
      <c r="F305" s="6" t="str">
        <f>IF(E305="","Unknown",E305)</f>
        <v>Mobile</v>
      </c>
      <c r="G305" s="6" t="s">
        <v>45</v>
      </c>
      <c r="H305" s="6" t="str">
        <f>IF(G305="","Unknown",G305)</f>
        <v>Social</v>
      </c>
      <c r="I305" s="6" t="s">
        <v>34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f>IF(O305&gt;0,1,0)</f>
        <v>0</v>
      </c>
      <c r="Q305" s="6">
        <v>0</v>
      </c>
      <c r="S305" s="6">
        <v>52.7</v>
      </c>
      <c r="T305" s="6">
        <f>IF(S305="",MEDIAN($S$2:$S$1409),S305)</f>
        <v>52.7</v>
      </c>
    </row>
    <row r="306" spans="1:20" ht="15" customHeight="1">
      <c r="A306" s="6" t="s">
        <v>340</v>
      </c>
      <c r="B306" s="7">
        <v>45662</v>
      </c>
      <c r="C306" s="6" t="s">
        <v>21</v>
      </c>
      <c r="D306" s="6" t="s">
        <v>36</v>
      </c>
      <c r="E306" s="6" t="s">
        <v>38</v>
      </c>
      <c r="F306" s="6" t="str">
        <f>IF(E306="","Unknown",E306)</f>
        <v>Tablet</v>
      </c>
      <c r="G306" s="6" t="s">
        <v>45</v>
      </c>
      <c r="H306" s="6" t="str">
        <f>IF(G306="","Unknown",G306)</f>
        <v>Social</v>
      </c>
      <c r="I306" s="6" t="s">
        <v>34</v>
      </c>
      <c r="J306" s="6">
        <v>1</v>
      </c>
      <c r="K306" s="6">
        <v>1</v>
      </c>
      <c r="L306" s="6">
        <v>1</v>
      </c>
      <c r="M306" s="6">
        <v>0</v>
      </c>
      <c r="N306" s="6">
        <v>0</v>
      </c>
      <c r="O306" s="6">
        <v>2</v>
      </c>
      <c r="P306" s="6">
        <f>IF(O306&gt;0,1,0)</f>
        <v>1</v>
      </c>
      <c r="Q306" s="6">
        <v>0</v>
      </c>
      <c r="S306" s="6">
        <v>48.9</v>
      </c>
      <c r="T306" s="6">
        <f>IF(S306="",MEDIAN($S$2:$S$1409),S306)</f>
        <v>48.9</v>
      </c>
    </row>
    <row r="307" spans="1:20" ht="15" customHeight="1">
      <c r="A307" s="6" t="s">
        <v>341</v>
      </c>
      <c r="B307" s="7">
        <v>45796</v>
      </c>
      <c r="C307" s="6" t="s">
        <v>21</v>
      </c>
      <c r="D307" s="6" t="s">
        <v>27</v>
      </c>
      <c r="E307" s="6" t="s">
        <v>28</v>
      </c>
      <c r="F307" s="6" t="str">
        <f>IF(E307="","Unknown",E307)</f>
        <v>Mobile</v>
      </c>
      <c r="G307" s="6" t="s">
        <v>29</v>
      </c>
      <c r="H307" s="6" t="str">
        <f>IF(G307="","Unknown",G307)</f>
        <v>Organic</v>
      </c>
      <c r="I307" s="6" t="s">
        <v>34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f>IF(O307&gt;0,1,0)</f>
        <v>0</v>
      </c>
      <c r="Q307" s="6">
        <v>0</v>
      </c>
      <c r="S307" s="6">
        <v>79.7</v>
      </c>
      <c r="T307" s="6">
        <f>IF(S307="",MEDIAN($S$2:$S$1409),S307)</f>
        <v>79.7</v>
      </c>
    </row>
    <row r="308" spans="1:20" ht="15" customHeight="1">
      <c r="A308" s="6" t="s">
        <v>342</v>
      </c>
      <c r="B308" s="7">
        <v>45690</v>
      </c>
      <c r="C308" s="6" t="s">
        <v>21</v>
      </c>
      <c r="D308" s="6" t="s">
        <v>22</v>
      </c>
      <c r="E308" s="6" t="s">
        <v>28</v>
      </c>
      <c r="F308" s="6" t="str">
        <f>IF(E308="","Unknown",E308)</f>
        <v>Mobile</v>
      </c>
      <c r="G308" s="6" t="s">
        <v>45</v>
      </c>
      <c r="H308" s="6" t="str">
        <f>IF(G308="","Unknown",G308)</f>
        <v>Social</v>
      </c>
      <c r="I308" s="6" t="s">
        <v>30</v>
      </c>
      <c r="J308" s="6">
        <v>1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f>IF(O308&gt;0,1,0)</f>
        <v>0</v>
      </c>
      <c r="Q308" s="6">
        <v>0</v>
      </c>
      <c r="S308" s="6">
        <v>44.9</v>
      </c>
      <c r="T308" s="6">
        <f>IF(S308="",MEDIAN($S$2:$S$1409),S308)</f>
        <v>44.9</v>
      </c>
    </row>
    <row r="309" spans="1:20" ht="15" customHeight="1">
      <c r="A309" s="6" t="s">
        <v>343</v>
      </c>
      <c r="B309" s="7">
        <v>45687</v>
      </c>
      <c r="C309" s="6" t="s">
        <v>21</v>
      </c>
      <c r="D309" s="6" t="s">
        <v>27</v>
      </c>
      <c r="E309" s="6" t="s">
        <v>38</v>
      </c>
      <c r="F309" s="6" t="str">
        <f>IF(E309="","Unknown",E309)</f>
        <v>Tablet</v>
      </c>
      <c r="G309" s="6" t="s">
        <v>33</v>
      </c>
      <c r="H309" s="6" t="str">
        <f>IF(G309="","Unknown",G309)</f>
        <v>Paid Search</v>
      </c>
      <c r="I309" s="6" t="s">
        <v>30</v>
      </c>
      <c r="J309" s="6">
        <v>1</v>
      </c>
      <c r="K309" s="6">
        <v>1</v>
      </c>
      <c r="L309" s="6">
        <v>1</v>
      </c>
      <c r="M309" s="6">
        <v>1</v>
      </c>
      <c r="N309" s="6">
        <v>409.39</v>
      </c>
      <c r="O309" s="6">
        <v>0</v>
      </c>
      <c r="P309" s="6">
        <f>IF(O309&gt;0,1,0)</f>
        <v>0</v>
      </c>
      <c r="Q309" s="6">
        <v>0</v>
      </c>
      <c r="R309" s="6">
        <v>10</v>
      </c>
      <c r="S309" s="6">
        <v>38.799999999999997</v>
      </c>
      <c r="T309" s="6">
        <f>IF(S309="",MEDIAN($S$2:$S$1409),S309)</f>
        <v>38.799999999999997</v>
      </c>
    </row>
    <row r="310" spans="1:20" ht="15" customHeight="1">
      <c r="A310" s="6" t="s">
        <v>344</v>
      </c>
      <c r="B310" s="7">
        <v>45778</v>
      </c>
      <c r="C310" s="6" t="s">
        <v>21</v>
      </c>
      <c r="D310" s="6" t="s">
        <v>36</v>
      </c>
      <c r="E310" s="6" t="s">
        <v>23</v>
      </c>
      <c r="F310" s="6" t="str">
        <f>IF(E310="","Unknown",E310)</f>
        <v>Desktop</v>
      </c>
      <c r="G310" s="6" t="s">
        <v>24</v>
      </c>
      <c r="H310" s="6" t="str">
        <f>IF(G310="","Unknown",G310)</f>
        <v>Email</v>
      </c>
      <c r="I310" s="6" t="s">
        <v>30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f>IF(O310&gt;0,1,0)</f>
        <v>0</v>
      </c>
      <c r="Q310" s="6">
        <v>0</v>
      </c>
      <c r="S310" s="6">
        <v>70</v>
      </c>
      <c r="T310" s="6">
        <f>IF(S310="",MEDIAN($S$2:$S$1409),S310)</f>
        <v>70</v>
      </c>
    </row>
    <row r="311" spans="1:20" ht="15" customHeight="1">
      <c r="A311" s="6" t="s">
        <v>345</v>
      </c>
      <c r="B311" s="7">
        <v>45793</v>
      </c>
      <c r="C311" s="6" t="s">
        <v>21</v>
      </c>
      <c r="D311" s="6" t="s">
        <v>36</v>
      </c>
      <c r="E311" s="6" t="s">
        <v>23</v>
      </c>
      <c r="F311" s="6" t="str">
        <f>IF(E311="","Unknown",E311)</f>
        <v>Desktop</v>
      </c>
      <c r="G311" s="6" t="s">
        <v>43</v>
      </c>
      <c r="H311" s="6" t="str">
        <f>IF(G311="","Unknown",G311)</f>
        <v>Referral</v>
      </c>
      <c r="I311" s="6" t="s">
        <v>25</v>
      </c>
      <c r="J311" s="6">
        <v>1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f>IF(O311&gt;0,1,0)</f>
        <v>0</v>
      </c>
      <c r="Q311" s="6">
        <v>0</v>
      </c>
      <c r="S311" s="6">
        <v>77.7</v>
      </c>
      <c r="T311" s="6">
        <f>IF(S311="",MEDIAN($S$2:$S$1409),S311)</f>
        <v>77.7</v>
      </c>
    </row>
    <row r="312" spans="1:20" ht="15" customHeight="1">
      <c r="A312" s="6" t="s">
        <v>346</v>
      </c>
      <c r="B312" s="7">
        <v>45724</v>
      </c>
      <c r="C312" s="6" t="s">
        <v>21</v>
      </c>
      <c r="D312" s="6" t="s">
        <v>27</v>
      </c>
      <c r="E312" s="6" t="s">
        <v>28</v>
      </c>
      <c r="F312" s="6" t="str">
        <f>IF(E312="","Unknown",E312)</f>
        <v>Mobile</v>
      </c>
      <c r="G312" s="6" t="s">
        <v>29</v>
      </c>
      <c r="H312" s="6" t="str">
        <f>IF(G312="","Unknown",G312)</f>
        <v>Organic</v>
      </c>
      <c r="I312" s="6" t="s">
        <v>30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f>IF(O312&gt;0,1,0)</f>
        <v>0</v>
      </c>
      <c r="Q312" s="6">
        <v>0</v>
      </c>
      <c r="S312" s="6">
        <v>71.2</v>
      </c>
      <c r="T312" s="6">
        <f>IF(S312="",MEDIAN($S$2:$S$1409),S312)</f>
        <v>71.2</v>
      </c>
    </row>
    <row r="313" spans="1:20" ht="15" customHeight="1">
      <c r="A313" s="6" t="s">
        <v>347</v>
      </c>
      <c r="B313" s="7">
        <v>45751</v>
      </c>
      <c r="C313" s="6" t="s">
        <v>21</v>
      </c>
      <c r="D313" s="6" t="s">
        <v>22</v>
      </c>
      <c r="E313" s="6" t="s">
        <v>28</v>
      </c>
      <c r="F313" s="6" t="str">
        <f>IF(E313="","Unknown",E313)</f>
        <v>Mobile</v>
      </c>
      <c r="G313" s="6" t="s">
        <v>29</v>
      </c>
      <c r="H313" s="6" t="str">
        <f>IF(G313="","Unknown",G313)</f>
        <v>Organic</v>
      </c>
      <c r="I313" s="6" t="s">
        <v>25</v>
      </c>
      <c r="J313" s="6">
        <v>1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f>IF(O313&gt;0,1,0)</f>
        <v>0</v>
      </c>
      <c r="Q313" s="6">
        <v>0</v>
      </c>
      <c r="S313" s="6">
        <v>43.8</v>
      </c>
      <c r="T313" s="6">
        <f>IF(S313="",MEDIAN($S$2:$S$1409),S313)</f>
        <v>43.8</v>
      </c>
    </row>
    <row r="314" spans="1:20" ht="15" customHeight="1">
      <c r="A314" s="6" t="s">
        <v>348</v>
      </c>
      <c r="B314" s="7">
        <v>45807</v>
      </c>
      <c r="C314" s="6" t="s">
        <v>21</v>
      </c>
      <c r="D314" s="6" t="s">
        <v>36</v>
      </c>
      <c r="E314" s="6" t="s">
        <v>38</v>
      </c>
      <c r="F314" s="6" t="str">
        <f>IF(E314="","Unknown",E314)</f>
        <v>Tablet</v>
      </c>
      <c r="G314" s="6" t="s">
        <v>29</v>
      </c>
      <c r="H314" s="6" t="str">
        <f>IF(G314="","Unknown",G314)</f>
        <v>Organic</v>
      </c>
      <c r="I314" s="6" t="s">
        <v>30</v>
      </c>
      <c r="J314" s="6">
        <v>1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f>IF(O314&gt;0,1,0)</f>
        <v>0</v>
      </c>
      <c r="Q314" s="6">
        <v>0</v>
      </c>
      <c r="S314" s="6">
        <v>50.9</v>
      </c>
      <c r="T314" s="6">
        <f>IF(S314="",MEDIAN($S$2:$S$1409),S314)</f>
        <v>50.9</v>
      </c>
    </row>
    <row r="315" spans="1:20" ht="15" customHeight="1">
      <c r="A315" s="6" t="s">
        <v>349</v>
      </c>
      <c r="B315" s="7">
        <v>45662</v>
      </c>
      <c r="C315" s="6" t="s">
        <v>21</v>
      </c>
      <c r="D315" s="6" t="s">
        <v>27</v>
      </c>
      <c r="E315" s="6" t="s">
        <v>28</v>
      </c>
      <c r="F315" s="6" t="str">
        <f>IF(E315="","Unknown",E315)</f>
        <v>Mobile</v>
      </c>
      <c r="G315" s="6" t="s">
        <v>29</v>
      </c>
      <c r="H315" s="6" t="str">
        <f>IF(G315="","Unknown",G315)</f>
        <v>Organic</v>
      </c>
      <c r="I315" s="6" t="s">
        <v>34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f>IF(O315&gt;0,1,0)</f>
        <v>0</v>
      </c>
      <c r="Q315" s="6">
        <v>0</v>
      </c>
      <c r="S315" s="6">
        <v>58.5</v>
      </c>
      <c r="T315" s="6">
        <f>IF(S315="",MEDIAN($S$2:$S$1409),S315)</f>
        <v>58.5</v>
      </c>
    </row>
    <row r="316" spans="1:20" ht="15" customHeight="1">
      <c r="A316" s="6" t="s">
        <v>350</v>
      </c>
      <c r="B316" s="7">
        <v>45677</v>
      </c>
      <c r="C316" s="6" t="s">
        <v>21</v>
      </c>
      <c r="D316" s="6" t="s">
        <v>32</v>
      </c>
      <c r="E316" s="6" t="s">
        <v>28</v>
      </c>
      <c r="F316" s="6" t="str">
        <f>IF(E316="","Unknown",E316)</f>
        <v>Mobile</v>
      </c>
      <c r="G316" s="6" t="s">
        <v>29</v>
      </c>
      <c r="H316" s="6" t="str">
        <f>IF(G316="","Unknown",G316)</f>
        <v>Organic</v>
      </c>
      <c r="I316" s="6" t="s">
        <v>30</v>
      </c>
      <c r="J316" s="6">
        <v>1</v>
      </c>
      <c r="K316" s="6">
        <v>1</v>
      </c>
      <c r="L316" s="6">
        <v>1</v>
      </c>
      <c r="M316" s="6">
        <v>0</v>
      </c>
      <c r="N316" s="6">
        <v>0</v>
      </c>
      <c r="O316" s="6">
        <v>0</v>
      </c>
      <c r="P316" s="6">
        <f>IF(O316&gt;0,1,0)</f>
        <v>0</v>
      </c>
      <c r="Q316" s="6">
        <v>0</v>
      </c>
      <c r="S316" s="6">
        <v>53.6</v>
      </c>
      <c r="T316" s="6">
        <f>IF(S316="",MEDIAN($S$2:$S$1409),S316)</f>
        <v>53.6</v>
      </c>
    </row>
    <row r="317" spans="1:20" ht="15" customHeight="1">
      <c r="A317" s="6" t="s">
        <v>351</v>
      </c>
      <c r="B317" s="7">
        <v>45778</v>
      </c>
      <c r="C317" s="6" t="s">
        <v>21</v>
      </c>
      <c r="D317" s="6" t="s">
        <v>32</v>
      </c>
      <c r="E317" s="6" t="s">
        <v>28</v>
      </c>
      <c r="F317" s="6" t="str">
        <f>IF(E317="","Unknown",E317)</f>
        <v>Mobile</v>
      </c>
      <c r="G317" s="6" t="s">
        <v>24</v>
      </c>
      <c r="H317" s="6" t="str">
        <f>IF(G317="","Unknown",G317)</f>
        <v>Email</v>
      </c>
      <c r="I317" s="6" t="s">
        <v>30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f>IF(O317&gt;0,1,0)</f>
        <v>0</v>
      </c>
      <c r="Q317" s="6">
        <v>0</v>
      </c>
      <c r="S317" s="6">
        <v>54.9</v>
      </c>
      <c r="T317" s="6">
        <f>IF(S317="",MEDIAN($S$2:$S$1409),S317)</f>
        <v>54.9</v>
      </c>
    </row>
    <row r="318" spans="1:20" ht="15" customHeight="1">
      <c r="A318" s="6" t="s">
        <v>352</v>
      </c>
      <c r="B318" s="7">
        <v>45721</v>
      </c>
      <c r="C318" s="6" t="s">
        <v>21</v>
      </c>
      <c r="D318" s="6" t="s">
        <v>22</v>
      </c>
      <c r="E318" s="6" t="s">
        <v>23</v>
      </c>
      <c r="F318" s="6" t="str">
        <f>IF(E318="","Unknown",E318)</f>
        <v>Desktop</v>
      </c>
      <c r="G318" s="6" t="s">
        <v>29</v>
      </c>
      <c r="H318" s="6" t="str">
        <f>IF(G318="","Unknown",G318)</f>
        <v>Organic</v>
      </c>
      <c r="I318" s="6" t="s">
        <v>34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f>IF(O318&gt;0,1,0)</f>
        <v>0</v>
      </c>
      <c r="Q318" s="6">
        <v>0</v>
      </c>
      <c r="S318" s="6">
        <v>57.3</v>
      </c>
      <c r="T318" s="6">
        <f>IF(S318="",MEDIAN($S$2:$S$1409),S318)</f>
        <v>57.3</v>
      </c>
    </row>
    <row r="319" spans="1:20" ht="15" customHeight="1">
      <c r="A319" s="6" t="s">
        <v>353</v>
      </c>
      <c r="B319" s="7">
        <v>45748</v>
      </c>
      <c r="C319" s="6" t="s">
        <v>21</v>
      </c>
      <c r="D319" s="6" t="s">
        <v>32</v>
      </c>
      <c r="E319" s="6" t="s">
        <v>23</v>
      </c>
      <c r="F319" s="6" t="str">
        <f>IF(E319="","Unknown",E319)</f>
        <v>Desktop</v>
      </c>
      <c r="G319" s="6" t="s">
        <v>43</v>
      </c>
      <c r="H319" s="6" t="str">
        <f>IF(G319="","Unknown",G319)</f>
        <v>Referral</v>
      </c>
      <c r="I319" s="6" t="s">
        <v>30</v>
      </c>
      <c r="J319" s="6">
        <v>1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f>IF(O319&gt;0,1,0)</f>
        <v>0</v>
      </c>
      <c r="Q319" s="6">
        <v>0</v>
      </c>
      <c r="S319" s="6">
        <v>52.1</v>
      </c>
      <c r="T319" s="6">
        <f>IF(S319="",MEDIAN($S$2:$S$1409),S319)</f>
        <v>52.1</v>
      </c>
    </row>
    <row r="320" spans="1:20" ht="15" customHeight="1">
      <c r="A320" s="6" t="s">
        <v>354</v>
      </c>
      <c r="B320" s="7">
        <v>45780</v>
      </c>
      <c r="C320" s="6" t="s">
        <v>21</v>
      </c>
      <c r="D320" s="6" t="s">
        <v>22</v>
      </c>
      <c r="E320" s="6" t="s">
        <v>28</v>
      </c>
      <c r="F320" s="6" t="str">
        <f>IF(E320="","Unknown",E320)</f>
        <v>Mobile</v>
      </c>
      <c r="G320" s="6" t="s">
        <v>29</v>
      </c>
      <c r="H320" s="6" t="str">
        <f>IF(G320="","Unknown",G320)</f>
        <v>Organic</v>
      </c>
      <c r="I320" s="6" t="s">
        <v>30</v>
      </c>
      <c r="J320" s="6">
        <v>1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f>IF(O320&gt;0,1,0)</f>
        <v>0</v>
      </c>
      <c r="Q320" s="6">
        <v>0</v>
      </c>
      <c r="S320" s="6">
        <v>80</v>
      </c>
      <c r="T320" s="6">
        <f>IF(S320="",MEDIAN($S$2:$S$1409),S320)</f>
        <v>80</v>
      </c>
    </row>
    <row r="321" spans="1:20" ht="15" customHeight="1">
      <c r="A321" s="6" t="s">
        <v>355</v>
      </c>
      <c r="B321" s="7">
        <v>45722</v>
      </c>
      <c r="C321" s="6" t="s">
        <v>21</v>
      </c>
      <c r="D321" s="6" t="s">
        <v>36</v>
      </c>
      <c r="E321" s="6" t="s">
        <v>23</v>
      </c>
      <c r="F321" s="6" t="str">
        <f>IF(E321="","Unknown",E321)</f>
        <v>Desktop</v>
      </c>
      <c r="G321" s="6" t="s">
        <v>33</v>
      </c>
      <c r="H321" s="6" t="str">
        <f>IF(G321="","Unknown",G321)</f>
        <v>Paid Search</v>
      </c>
      <c r="I321" s="6" t="s">
        <v>34</v>
      </c>
      <c r="J321" s="6">
        <v>1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f>IF(O321&gt;0,1,0)</f>
        <v>0</v>
      </c>
      <c r="Q321" s="6">
        <v>0</v>
      </c>
      <c r="S321" s="6">
        <v>39.299999999999997</v>
      </c>
      <c r="T321" s="6">
        <f>IF(S321="",MEDIAN($S$2:$S$1409),S321)</f>
        <v>39.299999999999997</v>
      </c>
    </row>
    <row r="322" spans="1:20" ht="15" customHeight="1">
      <c r="A322" s="6" t="s">
        <v>356</v>
      </c>
      <c r="B322" s="7">
        <v>45748</v>
      </c>
      <c r="C322" s="6" t="s">
        <v>21</v>
      </c>
      <c r="D322" s="6" t="s">
        <v>22</v>
      </c>
      <c r="E322" s="6" t="s">
        <v>23</v>
      </c>
      <c r="F322" s="6" t="str">
        <f>IF(E322="","Unknown",E322)</f>
        <v>Desktop</v>
      </c>
      <c r="G322" s="6" t="s">
        <v>43</v>
      </c>
      <c r="H322" s="6" t="str">
        <f>IF(G322="","Unknown",G322)</f>
        <v>Referral</v>
      </c>
      <c r="I322" s="6" t="s">
        <v>34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f>IF(O322&gt;0,1,0)</f>
        <v>0</v>
      </c>
      <c r="Q322" s="6">
        <v>0</v>
      </c>
      <c r="S322" s="6">
        <v>45.7</v>
      </c>
      <c r="T322" s="6">
        <f>IF(S322="",MEDIAN($S$2:$S$1409),S322)</f>
        <v>45.7</v>
      </c>
    </row>
    <row r="323" spans="1:20" ht="15" customHeight="1">
      <c r="A323" s="6" t="s">
        <v>357</v>
      </c>
      <c r="B323" s="7">
        <v>45697</v>
      </c>
      <c r="C323" s="6" t="s">
        <v>21</v>
      </c>
      <c r="D323" s="6" t="s">
        <v>22</v>
      </c>
      <c r="E323" s="6" t="s">
        <v>23</v>
      </c>
      <c r="F323" s="6" t="str">
        <f>IF(E323="","Unknown",E323)</f>
        <v>Desktop</v>
      </c>
      <c r="G323" s="6" t="s">
        <v>45</v>
      </c>
      <c r="H323" s="6" t="str">
        <f>IF(G323="","Unknown",G323)</f>
        <v>Social</v>
      </c>
      <c r="I323" s="6" t="s">
        <v>25</v>
      </c>
      <c r="J323" s="6">
        <v>1</v>
      </c>
      <c r="K323" s="6">
        <v>0</v>
      </c>
      <c r="L323" s="6">
        <v>0</v>
      </c>
      <c r="M323" s="6">
        <v>0</v>
      </c>
      <c r="N323" s="6">
        <v>0</v>
      </c>
      <c r="O323" s="6">
        <v>2</v>
      </c>
      <c r="P323" s="6">
        <f>IF(O323&gt;0,1,0)</f>
        <v>1</v>
      </c>
      <c r="Q323" s="6">
        <v>0</v>
      </c>
      <c r="S323" s="6">
        <v>61.2</v>
      </c>
      <c r="T323" s="6">
        <f>IF(S323="",MEDIAN($S$2:$S$1409),S323)</f>
        <v>61.2</v>
      </c>
    </row>
    <row r="324" spans="1:20" ht="15" customHeight="1">
      <c r="A324" s="6" t="s">
        <v>358</v>
      </c>
      <c r="B324" s="7">
        <v>45759</v>
      </c>
      <c r="C324" s="6" t="s">
        <v>21</v>
      </c>
      <c r="D324" s="6" t="s">
        <v>27</v>
      </c>
      <c r="E324" s="6" t="s">
        <v>28</v>
      </c>
      <c r="F324" s="6" t="str">
        <f>IF(E324="","Unknown",E324)</f>
        <v>Mobile</v>
      </c>
      <c r="G324" s="6" t="s">
        <v>29</v>
      </c>
      <c r="H324" s="6" t="str">
        <f>IF(G324="","Unknown",G324)</f>
        <v>Organic</v>
      </c>
      <c r="I324" s="6" t="s">
        <v>25</v>
      </c>
      <c r="J324" s="6">
        <v>1</v>
      </c>
      <c r="K324" s="6">
        <v>1</v>
      </c>
      <c r="L324" s="6">
        <v>0</v>
      </c>
      <c r="M324" s="6">
        <v>0</v>
      </c>
      <c r="N324" s="6">
        <v>0</v>
      </c>
      <c r="O324" s="6">
        <v>0</v>
      </c>
      <c r="P324" s="6">
        <f>IF(O324&gt;0,1,0)</f>
        <v>0</v>
      </c>
      <c r="Q324" s="6">
        <v>0</v>
      </c>
      <c r="S324" s="6">
        <v>66.2</v>
      </c>
      <c r="T324" s="6">
        <f>IF(S324="",MEDIAN($S$2:$S$1409),S324)</f>
        <v>66.2</v>
      </c>
    </row>
    <row r="325" spans="1:20" ht="15" customHeight="1">
      <c r="A325" s="6" t="s">
        <v>359</v>
      </c>
      <c r="B325" s="7">
        <v>45734</v>
      </c>
      <c r="C325" s="6" t="s">
        <v>21</v>
      </c>
      <c r="D325" s="6" t="s">
        <v>32</v>
      </c>
      <c r="E325" s="6" t="s">
        <v>28</v>
      </c>
      <c r="F325" s="6" t="str">
        <f>IF(E325="","Unknown",E325)</f>
        <v>Mobile</v>
      </c>
      <c r="G325" s="6" t="s">
        <v>45</v>
      </c>
      <c r="H325" s="6" t="str">
        <f>IF(G325="","Unknown",G325)</f>
        <v>Social</v>
      </c>
      <c r="I325" s="6" t="s">
        <v>30</v>
      </c>
      <c r="J325" s="6">
        <v>1</v>
      </c>
      <c r="K325" s="6">
        <v>1</v>
      </c>
      <c r="L325" s="6">
        <v>1</v>
      </c>
      <c r="M325" s="6">
        <v>0</v>
      </c>
      <c r="N325" s="6">
        <v>0</v>
      </c>
      <c r="O325" s="6">
        <v>0</v>
      </c>
      <c r="P325" s="6">
        <f>IF(O325&gt;0,1,0)</f>
        <v>0</v>
      </c>
      <c r="Q325" s="6">
        <v>0</v>
      </c>
      <c r="S325" s="6">
        <v>61.3</v>
      </c>
      <c r="T325" s="6">
        <f>IF(S325="",MEDIAN($S$2:$S$1409),S325)</f>
        <v>61.3</v>
      </c>
    </row>
    <row r="326" spans="1:20" ht="15" customHeight="1">
      <c r="A326" s="6" t="s">
        <v>360</v>
      </c>
      <c r="B326" s="7">
        <v>45750</v>
      </c>
      <c r="C326" s="6" t="s">
        <v>21</v>
      </c>
      <c r="D326" s="6" t="s">
        <v>32</v>
      </c>
      <c r="E326" s="6" t="s">
        <v>28</v>
      </c>
      <c r="F326" s="6" t="str">
        <f>IF(E326="","Unknown",E326)</f>
        <v>Mobile</v>
      </c>
      <c r="G326" s="6" t="s">
        <v>33</v>
      </c>
      <c r="H326" s="6" t="str">
        <f>IF(G326="","Unknown",G326)</f>
        <v>Paid Search</v>
      </c>
      <c r="I326" s="6" t="s">
        <v>30</v>
      </c>
      <c r="J326" s="6">
        <v>1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f>IF(O326&gt;0,1,0)</f>
        <v>0</v>
      </c>
      <c r="Q326" s="6">
        <v>0</v>
      </c>
      <c r="S326" s="6">
        <v>72.2</v>
      </c>
      <c r="T326" s="6">
        <f>IF(S326="",MEDIAN($S$2:$S$1409),S326)</f>
        <v>72.2</v>
      </c>
    </row>
    <row r="327" spans="1:20" ht="15" customHeight="1">
      <c r="A327" s="6" t="s">
        <v>361</v>
      </c>
      <c r="B327" s="7">
        <v>45749</v>
      </c>
      <c r="C327" s="6" t="s">
        <v>21</v>
      </c>
      <c r="D327" s="6" t="s">
        <v>27</v>
      </c>
      <c r="E327" s="6" t="s">
        <v>28</v>
      </c>
      <c r="F327" s="6" t="str">
        <f>IF(E327="","Unknown",E327)</f>
        <v>Mobile</v>
      </c>
      <c r="G327" s="6" t="s">
        <v>24</v>
      </c>
      <c r="H327" s="6" t="str">
        <f>IF(G327="","Unknown",G327)</f>
        <v>Email</v>
      </c>
      <c r="I327" s="6" t="s">
        <v>34</v>
      </c>
      <c r="J327" s="6">
        <v>1</v>
      </c>
      <c r="K327" s="6">
        <v>1</v>
      </c>
      <c r="L327" s="6">
        <v>1</v>
      </c>
      <c r="M327" s="6">
        <v>0</v>
      </c>
      <c r="N327" s="6">
        <v>0</v>
      </c>
      <c r="O327" s="6">
        <v>0</v>
      </c>
      <c r="P327" s="6">
        <f>IF(O327&gt;0,1,0)</f>
        <v>0</v>
      </c>
      <c r="Q327" s="6">
        <v>0</v>
      </c>
      <c r="S327" s="6">
        <v>84</v>
      </c>
      <c r="T327" s="6">
        <f>IF(S327="",MEDIAN($S$2:$S$1409),S327)</f>
        <v>84</v>
      </c>
    </row>
    <row r="328" spans="1:20" ht="15" customHeight="1">
      <c r="A328" s="6" t="s">
        <v>362</v>
      </c>
      <c r="B328" s="7">
        <v>45787</v>
      </c>
      <c r="C328" s="6" t="s">
        <v>21</v>
      </c>
      <c r="D328" s="6" t="s">
        <v>27</v>
      </c>
      <c r="E328" s="6" t="s">
        <v>23</v>
      </c>
      <c r="F328" s="6" t="str">
        <f>IF(E328="","Unknown",E328)</f>
        <v>Desktop</v>
      </c>
      <c r="G328" s="6" t="s">
        <v>24</v>
      </c>
      <c r="H328" s="6" t="str">
        <f>IF(G328="","Unknown",G328)</f>
        <v>Email</v>
      </c>
      <c r="I328" s="6" t="s">
        <v>25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f>IF(O328&gt;0,1,0)</f>
        <v>0</v>
      </c>
      <c r="Q328" s="6">
        <v>0</v>
      </c>
      <c r="S328" s="6">
        <v>59.8</v>
      </c>
      <c r="T328" s="6">
        <f>IF(S328="",MEDIAN($S$2:$S$1409),S328)</f>
        <v>59.8</v>
      </c>
    </row>
    <row r="329" spans="1:20" ht="15" customHeight="1">
      <c r="A329" s="6" t="s">
        <v>363</v>
      </c>
      <c r="B329" s="7">
        <v>45776</v>
      </c>
      <c r="C329" s="6" t="s">
        <v>21</v>
      </c>
      <c r="D329" s="6" t="s">
        <v>27</v>
      </c>
      <c r="E329" s="6" t="s">
        <v>23</v>
      </c>
      <c r="F329" s="6" t="str">
        <f>IF(E329="","Unknown",E329)</f>
        <v>Desktop</v>
      </c>
      <c r="G329" s="6" t="s">
        <v>33</v>
      </c>
      <c r="H329" s="6" t="str">
        <f>IF(G329="","Unknown",G329)</f>
        <v>Paid Search</v>
      </c>
      <c r="I329" s="6" t="s">
        <v>30</v>
      </c>
      <c r="J329" s="6">
        <v>1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f>IF(O329&gt;0,1,0)</f>
        <v>0</v>
      </c>
      <c r="Q329" s="6">
        <v>0</v>
      </c>
      <c r="S329" s="6">
        <v>64.900000000000006</v>
      </c>
      <c r="T329" s="6">
        <f>IF(S329="",MEDIAN($S$2:$S$1409),S329)</f>
        <v>64.900000000000006</v>
      </c>
    </row>
    <row r="330" spans="1:20" ht="15" customHeight="1">
      <c r="A330" s="6" t="s">
        <v>364</v>
      </c>
      <c r="B330" s="7">
        <v>45715</v>
      </c>
      <c r="C330" s="6" t="s">
        <v>21</v>
      </c>
      <c r="D330" s="6" t="s">
        <v>36</v>
      </c>
      <c r="E330" s="6" t="s">
        <v>28</v>
      </c>
      <c r="F330" s="6" t="str">
        <f>IF(E330="","Unknown",E330)</f>
        <v>Mobile</v>
      </c>
      <c r="G330" s="6" t="s">
        <v>33</v>
      </c>
      <c r="H330" s="6" t="str">
        <f>IF(G330="","Unknown",G330)</f>
        <v>Paid Search</v>
      </c>
      <c r="I330" s="6" t="s">
        <v>30</v>
      </c>
      <c r="J330" s="6">
        <v>1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f>IF(O330&gt;0,1,0)</f>
        <v>0</v>
      </c>
      <c r="Q330" s="6">
        <v>0</v>
      </c>
      <c r="S330" s="6">
        <v>66.8</v>
      </c>
      <c r="T330" s="6">
        <f>IF(S330="",MEDIAN($S$2:$S$1409),S330)</f>
        <v>66.8</v>
      </c>
    </row>
    <row r="331" spans="1:20" ht="15" customHeight="1">
      <c r="A331" s="6" t="s">
        <v>365</v>
      </c>
      <c r="B331" s="7">
        <v>45757</v>
      </c>
      <c r="C331" s="6" t="s">
        <v>21</v>
      </c>
      <c r="D331" s="6" t="s">
        <v>22</v>
      </c>
      <c r="E331" s="6" t="s">
        <v>23</v>
      </c>
      <c r="F331" s="6" t="str">
        <f>IF(E331="","Unknown",E331)</f>
        <v>Desktop</v>
      </c>
      <c r="G331" s="6" t="s">
        <v>29</v>
      </c>
      <c r="H331" s="6" t="str">
        <f>IF(G331="","Unknown",G331)</f>
        <v>Organic</v>
      </c>
      <c r="I331" s="6" t="s">
        <v>34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f>IF(O331&gt;0,1,0)</f>
        <v>0</v>
      </c>
      <c r="Q331" s="6">
        <v>0</v>
      </c>
      <c r="S331" s="6">
        <v>70.900000000000006</v>
      </c>
      <c r="T331" s="6">
        <f>IF(S331="",MEDIAN($S$2:$S$1409),S331)</f>
        <v>70.900000000000006</v>
      </c>
    </row>
    <row r="332" spans="1:20" ht="15" customHeight="1">
      <c r="A332" s="6" t="s">
        <v>366</v>
      </c>
      <c r="B332" s="7">
        <v>45701</v>
      </c>
      <c r="C332" s="6" t="s">
        <v>21</v>
      </c>
      <c r="D332" s="6" t="s">
        <v>32</v>
      </c>
      <c r="E332" s="6" t="s">
        <v>28</v>
      </c>
      <c r="F332" s="6" t="str">
        <f>IF(E332="","Unknown",E332)</f>
        <v>Mobile</v>
      </c>
      <c r="G332" s="6" t="s">
        <v>29</v>
      </c>
      <c r="H332" s="6" t="str">
        <f>IF(G332="","Unknown",G332)</f>
        <v>Organic</v>
      </c>
      <c r="I332" s="6" t="s">
        <v>30</v>
      </c>
      <c r="J332" s="6">
        <v>1</v>
      </c>
      <c r="K332" s="6">
        <v>1</v>
      </c>
      <c r="L332" s="6">
        <v>1</v>
      </c>
      <c r="M332" s="6">
        <v>1</v>
      </c>
      <c r="N332" s="6">
        <v>426.82</v>
      </c>
      <c r="O332" s="6">
        <v>1</v>
      </c>
      <c r="P332" s="6">
        <f>IF(O332&gt;0,1,0)</f>
        <v>1</v>
      </c>
      <c r="Q332" s="6">
        <v>0</v>
      </c>
      <c r="R332" s="6">
        <v>14</v>
      </c>
      <c r="S332" s="6">
        <v>68.8</v>
      </c>
      <c r="T332" s="6">
        <f>IF(S332="",MEDIAN($S$2:$S$1409),S332)</f>
        <v>68.8</v>
      </c>
    </row>
    <row r="333" spans="1:20" ht="15" customHeight="1">
      <c r="A333" s="6" t="s">
        <v>367</v>
      </c>
      <c r="B333" s="7">
        <v>45780</v>
      </c>
      <c r="C333" s="6" t="s">
        <v>21</v>
      </c>
      <c r="D333" s="6" t="s">
        <v>22</v>
      </c>
      <c r="E333" s="6" t="s">
        <v>28</v>
      </c>
      <c r="F333" s="6" t="str">
        <f>IF(E333="","Unknown",E333)</f>
        <v>Mobile</v>
      </c>
      <c r="G333" s="6" t="s">
        <v>29</v>
      </c>
      <c r="H333" s="6" t="str">
        <f>IF(G333="","Unknown",G333)</f>
        <v>Organic</v>
      </c>
      <c r="I333" s="6" t="s">
        <v>25</v>
      </c>
      <c r="J333" s="6">
        <v>1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f>IF(O333&gt;0,1,0)</f>
        <v>0</v>
      </c>
      <c r="Q333" s="6">
        <v>0</v>
      </c>
      <c r="S333" s="6">
        <v>72.400000000000006</v>
      </c>
      <c r="T333" s="6">
        <f>IF(S333="",MEDIAN($S$2:$S$1409),S333)</f>
        <v>72.400000000000006</v>
      </c>
    </row>
    <row r="334" spans="1:20" ht="15" customHeight="1">
      <c r="A334" s="6" t="s">
        <v>368</v>
      </c>
      <c r="B334" s="7">
        <v>45726</v>
      </c>
      <c r="C334" s="6" t="s">
        <v>21</v>
      </c>
      <c r="D334" s="6" t="s">
        <v>32</v>
      </c>
      <c r="E334" s="6" t="s">
        <v>28</v>
      </c>
      <c r="F334" s="6" t="str">
        <f>IF(E334="","Unknown",E334)</f>
        <v>Mobile</v>
      </c>
      <c r="G334" s="6" t="s">
        <v>29</v>
      </c>
      <c r="H334" s="6" t="str">
        <f>IF(G334="","Unknown",G334)</f>
        <v>Organic</v>
      </c>
      <c r="I334" s="6" t="s">
        <v>25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f>IF(O334&gt;0,1,0)</f>
        <v>0</v>
      </c>
      <c r="Q334" s="6">
        <v>0</v>
      </c>
      <c r="S334" s="6">
        <v>63.3</v>
      </c>
      <c r="T334" s="6">
        <f>IF(S334="",MEDIAN($S$2:$S$1409),S334)</f>
        <v>63.3</v>
      </c>
    </row>
    <row r="335" spans="1:20" ht="15" customHeight="1">
      <c r="A335" s="6" t="s">
        <v>369</v>
      </c>
      <c r="B335" s="7">
        <v>45667</v>
      </c>
      <c r="C335" s="6" t="s">
        <v>21</v>
      </c>
      <c r="D335" s="6" t="s">
        <v>27</v>
      </c>
      <c r="E335" s="6" t="s">
        <v>38</v>
      </c>
      <c r="F335" s="6" t="str">
        <f>IF(E335="","Unknown",E335)</f>
        <v>Tablet</v>
      </c>
      <c r="G335" s="6" t="s">
        <v>45</v>
      </c>
      <c r="H335" s="6" t="str">
        <f>IF(G335="","Unknown",G335)</f>
        <v>Social</v>
      </c>
      <c r="I335" s="6" t="s">
        <v>30</v>
      </c>
      <c r="J335" s="6">
        <v>1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f>IF(O335&gt;0,1,0)</f>
        <v>0</v>
      </c>
      <c r="Q335" s="6">
        <v>0</v>
      </c>
      <c r="S335" s="6">
        <v>30.8</v>
      </c>
      <c r="T335" s="6">
        <f>IF(S335="",MEDIAN($S$2:$S$1409),S335)</f>
        <v>30.8</v>
      </c>
    </row>
    <row r="336" spans="1:20" ht="15" customHeight="1">
      <c r="A336" s="6" t="s">
        <v>370</v>
      </c>
      <c r="B336" s="7">
        <v>45673</v>
      </c>
      <c r="C336" s="6" t="s">
        <v>21</v>
      </c>
      <c r="D336" s="6" t="s">
        <v>36</v>
      </c>
      <c r="E336" s="6" t="s">
        <v>28</v>
      </c>
      <c r="F336" s="6" t="str">
        <f>IF(E336="","Unknown",E336)</f>
        <v>Mobile</v>
      </c>
      <c r="G336" s="6" t="s">
        <v>24</v>
      </c>
      <c r="H336" s="6" t="str">
        <f>IF(G336="","Unknown",G336)</f>
        <v>Email</v>
      </c>
      <c r="I336" s="6" t="s">
        <v>25</v>
      </c>
      <c r="J336" s="6">
        <v>1</v>
      </c>
      <c r="K336" s="6">
        <v>1</v>
      </c>
      <c r="L336" s="6">
        <v>1</v>
      </c>
      <c r="M336" s="6">
        <v>1</v>
      </c>
      <c r="N336" s="6">
        <v>874.55</v>
      </c>
      <c r="O336" s="6">
        <v>0</v>
      </c>
      <c r="P336" s="6">
        <f>IF(O336&gt;0,1,0)</f>
        <v>0</v>
      </c>
      <c r="Q336" s="6">
        <v>0</v>
      </c>
      <c r="R336" s="6">
        <v>9</v>
      </c>
      <c r="S336" s="6">
        <v>44.2</v>
      </c>
      <c r="T336" s="6">
        <f>IF(S336="",MEDIAN($S$2:$S$1409),S336)</f>
        <v>44.2</v>
      </c>
    </row>
    <row r="337" spans="1:20" ht="15" customHeight="1">
      <c r="A337" s="6" t="s">
        <v>371</v>
      </c>
      <c r="B337" s="7">
        <v>45699</v>
      </c>
      <c r="C337" s="6" t="s">
        <v>21</v>
      </c>
      <c r="D337" s="6" t="s">
        <v>36</v>
      </c>
      <c r="E337" s="6" t="s">
        <v>23</v>
      </c>
      <c r="F337" s="6" t="str">
        <f>IF(E337="","Unknown",E337)</f>
        <v>Desktop</v>
      </c>
      <c r="G337" s="6" t="s">
        <v>29</v>
      </c>
      <c r="H337" s="6" t="str">
        <f>IF(G337="","Unknown",G337)</f>
        <v>Organic</v>
      </c>
      <c r="I337" s="6" t="s">
        <v>34</v>
      </c>
      <c r="J337" s="6">
        <v>1</v>
      </c>
      <c r="K337" s="6">
        <v>1</v>
      </c>
      <c r="L337" s="6">
        <v>1</v>
      </c>
      <c r="M337" s="6">
        <v>1</v>
      </c>
      <c r="N337" s="6">
        <v>2206.88</v>
      </c>
      <c r="O337" s="6">
        <v>0</v>
      </c>
      <c r="P337" s="6">
        <f>IF(O337&gt;0,1,0)</f>
        <v>0</v>
      </c>
      <c r="Q337" s="6">
        <v>0</v>
      </c>
      <c r="R337" s="6">
        <v>10</v>
      </c>
      <c r="S337" s="6">
        <v>56.2</v>
      </c>
      <c r="T337" s="6">
        <f>IF(S337="",MEDIAN($S$2:$S$1409),S337)</f>
        <v>56.2</v>
      </c>
    </row>
    <row r="338" spans="1:20" ht="15" customHeight="1">
      <c r="A338" s="6" t="s">
        <v>372</v>
      </c>
      <c r="B338" s="7">
        <v>45760</v>
      </c>
      <c r="C338" s="6" t="s">
        <v>21</v>
      </c>
      <c r="D338" s="6" t="s">
        <v>27</v>
      </c>
      <c r="E338" s="6" t="s">
        <v>28</v>
      </c>
      <c r="F338" s="6" t="str">
        <f>IF(E338="","Unknown",E338)</f>
        <v>Mobile</v>
      </c>
      <c r="G338" s="6" t="s">
        <v>29</v>
      </c>
      <c r="H338" s="6" t="str">
        <f>IF(G338="","Unknown",G338)</f>
        <v>Organic</v>
      </c>
      <c r="I338" s="6" t="s">
        <v>30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f>IF(O338&gt;0,1,0)</f>
        <v>0</v>
      </c>
      <c r="Q338" s="6">
        <v>0</v>
      </c>
      <c r="S338" s="6">
        <v>40.4</v>
      </c>
      <c r="T338" s="6">
        <f>IF(S338="",MEDIAN($S$2:$S$1409),S338)</f>
        <v>40.4</v>
      </c>
    </row>
    <row r="339" spans="1:20" ht="15" customHeight="1">
      <c r="A339" s="6" t="s">
        <v>373</v>
      </c>
      <c r="B339" s="7">
        <v>45696</v>
      </c>
      <c r="C339" s="6" t="s">
        <v>21</v>
      </c>
      <c r="D339" s="6" t="s">
        <v>32</v>
      </c>
      <c r="E339" s="6" t="s">
        <v>28</v>
      </c>
      <c r="F339" s="6" t="str">
        <f>IF(E339="","Unknown",E339)</f>
        <v>Mobile</v>
      </c>
      <c r="G339" s="6" t="s">
        <v>33</v>
      </c>
      <c r="H339" s="6" t="str">
        <f>IF(G339="","Unknown",G339)</f>
        <v>Paid Search</v>
      </c>
      <c r="I339" s="6" t="s">
        <v>30</v>
      </c>
      <c r="J339" s="6">
        <v>1</v>
      </c>
      <c r="K339" s="6">
        <v>1</v>
      </c>
      <c r="L339" s="6">
        <v>1</v>
      </c>
      <c r="M339" s="6">
        <v>0</v>
      </c>
      <c r="N339" s="6">
        <v>0</v>
      </c>
      <c r="O339" s="6">
        <v>0</v>
      </c>
      <c r="P339" s="6">
        <f>IF(O339&gt;0,1,0)</f>
        <v>0</v>
      </c>
      <c r="Q339" s="6">
        <v>0</v>
      </c>
      <c r="S339" s="6">
        <v>68.099999999999994</v>
      </c>
      <c r="T339" s="6">
        <f>IF(S339="",MEDIAN($S$2:$S$1409),S339)</f>
        <v>68.099999999999994</v>
      </c>
    </row>
    <row r="340" spans="1:20" ht="15" customHeight="1">
      <c r="A340" s="6" t="s">
        <v>374</v>
      </c>
      <c r="B340" s="7">
        <v>45747</v>
      </c>
      <c r="C340" s="6" t="s">
        <v>21</v>
      </c>
      <c r="D340" s="6" t="s">
        <v>27</v>
      </c>
      <c r="E340" s="6" t="s">
        <v>23</v>
      </c>
      <c r="F340" s="6" t="str">
        <f>IF(E340="","Unknown",E340)</f>
        <v>Desktop</v>
      </c>
      <c r="G340" s="6" t="s">
        <v>43</v>
      </c>
      <c r="H340" s="6" t="str">
        <f>IF(G340="","Unknown",G340)</f>
        <v>Referral</v>
      </c>
      <c r="I340" s="6" t="s">
        <v>30</v>
      </c>
      <c r="J340" s="6">
        <v>1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f>IF(O340&gt;0,1,0)</f>
        <v>0</v>
      </c>
      <c r="Q340" s="6">
        <v>0</v>
      </c>
      <c r="S340" s="6">
        <v>86.3</v>
      </c>
      <c r="T340" s="6">
        <f>IF(S340="",MEDIAN($S$2:$S$1409),S340)</f>
        <v>86.3</v>
      </c>
    </row>
    <row r="341" spans="1:20" ht="15" customHeight="1">
      <c r="A341" s="6" t="s">
        <v>375</v>
      </c>
      <c r="B341" s="7">
        <v>45688</v>
      </c>
      <c r="C341" s="6" t="s">
        <v>21</v>
      </c>
      <c r="D341" s="6" t="s">
        <v>27</v>
      </c>
      <c r="E341" s="6" t="s">
        <v>23</v>
      </c>
      <c r="F341" s="6" t="str">
        <f>IF(E341="","Unknown",E341)</f>
        <v>Desktop</v>
      </c>
      <c r="G341" s="6" t="s">
        <v>43</v>
      </c>
      <c r="H341" s="6" t="str">
        <f>IF(G341="","Unknown",G341)</f>
        <v>Referral</v>
      </c>
      <c r="I341" s="6" t="s">
        <v>30</v>
      </c>
      <c r="J341" s="6">
        <v>1</v>
      </c>
      <c r="K341" s="6">
        <v>1</v>
      </c>
      <c r="L341" s="6">
        <v>0</v>
      </c>
      <c r="M341" s="6">
        <v>0</v>
      </c>
      <c r="N341" s="6">
        <v>0</v>
      </c>
      <c r="O341" s="6">
        <v>0</v>
      </c>
      <c r="P341" s="6">
        <f>IF(O341&gt;0,1,0)</f>
        <v>0</v>
      </c>
      <c r="Q341" s="6">
        <v>0</v>
      </c>
      <c r="S341" s="6">
        <v>42.9</v>
      </c>
      <c r="T341" s="6">
        <f>IF(S341="",MEDIAN($S$2:$S$1409),S341)</f>
        <v>42.9</v>
      </c>
    </row>
    <row r="342" spans="1:20" ht="15" customHeight="1">
      <c r="A342" s="6" t="s">
        <v>376</v>
      </c>
      <c r="B342" s="7">
        <v>45785</v>
      </c>
      <c r="C342" s="6" t="s">
        <v>21</v>
      </c>
      <c r="D342" s="6" t="s">
        <v>27</v>
      </c>
      <c r="E342" s="6" t="s">
        <v>38</v>
      </c>
      <c r="F342" s="6" t="str">
        <f>IF(E342="","Unknown",E342)</f>
        <v>Tablet</v>
      </c>
      <c r="G342" s="6" t="s">
        <v>29</v>
      </c>
      <c r="H342" s="6" t="str">
        <f>IF(G342="","Unknown",G342)</f>
        <v>Organic</v>
      </c>
      <c r="I342" s="6" t="s">
        <v>30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f>IF(O342&gt;0,1,0)</f>
        <v>0</v>
      </c>
      <c r="Q342" s="6">
        <v>0</v>
      </c>
      <c r="S342" s="6">
        <v>61.4</v>
      </c>
      <c r="T342" s="6">
        <f>IF(S342="",MEDIAN($S$2:$S$1409),S342)</f>
        <v>61.4</v>
      </c>
    </row>
    <row r="343" spans="1:20" ht="15" customHeight="1">
      <c r="A343" s="6" t="s">
        <v>377</v>
      </c>
      <c r="B343" s="7">
        <v>45731</v>
      </c>
      <c r="C343" s="6" t="s">
        <v>21</v>
      </c>
      <c r="D343" s="6" t="s">
        <v>22</v>
      </c>
      <c r="E343" s="6" t="s">
        <v>28</v>
      </c>
      <c r="F343" s="6" t="str">
        <f>IF(E343="","Unknown",E343)</f>
        <v>Mobile</v>
      </c>
      <c r="G343" s="6" t="s">
        <v>33</v>
      </c>
      <c r="H343" s="6" t="str">
        <f>IF(G343="","Unknown",G343)</f>
        <v>Paid Search</v>
      </c>
      <c r="I343" s="6" t="s">
        <v>30</v>
      </c>
      <c r="J343" s="6">
        <v>1</v>
      </c>
      <c r="K343" s="6">
        <v>0</v>
      </c>
      <c r="L343" s="6">
        <v>0</v>
      </c>
      <c r="M343" s="6">
        <v>0</v>
      </c>
      <c r="N343" s="6">
        <v>0</v>
      </c>
      <c r="O343" s="6">
        <v>1</v>
      </c>
      <c r="P343" s="6">
        <f>IF(O343&gt;0,1,0)</f>
        <v>1</v>
      </c>
      <c r="Q343" s="6">
        <v>0</v>
      </c>
      <c r="S343" s="6">
        <v>73.3</v>
      </c>
      <c r="T343" s="6">
        <f>IF(S343="",MEDIAN($S$2:$S$1409),S343)</f>
        <v>73.3</v>
      </c>
    </row>
    <row r="344" spans="1:20" ht="15" customHeight="1">
      <c r="A344" s="6" t="s">
        <v>378</v>
      </c>
      <c r="B344" s="7">
        <v>45670</v>
      </c>
      <c r="C344" s="6" t="s">
        <v>21</v>
      </c>
      <c r="D344" s="6" t="s">
        <v>36</v>
      </c>
      <c r="E344" s="6" t="s">
        <v>28</v>
      </c>
      <c r="F344" s="6" t="str">
        <f>IF(E344="","Unknown",E344)</f>
        <v>Mobile</v>
      </c>
      <c r="G344" s="6" t="s">
        <v>43</v>
      </c>
      <c r="H344" s="6" t="str">
        <f>IF(G344="","Unknown",G344)</f>
        <v>Referral</v>
      </c>
      <c r="I344" s="6" t="s">
        <v>25</v>
      </c>
      <c r="J344" s="6">
        <v>1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f>IF(O344&gt;0,1,0)</f>
        <v>0</v>
      </c>
      <c r="Q344" s="6">
        <v>0</v>
      </c>
      <c r="S344" s="6">
        <v>59.4</v>
      </c>
      <c r="T344" s="6">
        <f>IF(S344="",MEDIAN($S$2:$S$1409),S344)</f>
        <v>59.4</v>
      </c>
    </row>
    <row r="345" spans="1:20" ht="15" customHeight="1">
      <c r="A345" s="6" t="s">
        <v>379</v>
      </c>
      <c r="B345" s="7">
        <v>45723</v>
      </c>
      <c r="C345" s="6" t="s">
        <v>21</v>
      </c>
      <c r="D345" s="6" t="s">
        <v>36</v>
      </c>
      <c r="E345" s="6" t="s">
        <v>38</v>
      </c>
      <c r="F345" s="6" t="str">
        <f>IF(E345="","Unknown",E345)</f>
        <v>Tablet</v>
      </c>
      <c r="G345" s="6" t="s">
        <v>29</v>
      </c>
      <c r="H345" s="6" t="str">
        <f>IF(G345="","Unknown",G345)</f>
        <v>Organic</v>
      </c>
      <c r="I345" s="6" t="s">
        <v>25</v>
      </c>
      <c r="J345" s="6">
        <v>1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f>IF(O345&gt;0,1,0)</f>
        <v>0</v>
      </c>
      <c r="Q345" s="6">
        <v>0</v>
      </c>
      <c r="S345" s="6">
        <v>35.200000000000003</v>
      </c>
      <c r="T345" s="6">
        <f>IF(S345="",MEDIAN($S$2:$S$1409),S345)</f>
        <v>35.200000000000003</v>
      </c>
    </row>
    <row r="346" spans="1:20" ht="15" customHeight="1">
      <c r="A346" s="6" t="s">
        <v>380</v>
      </c>
      <c r="B346" s="7">
        <v>45698</v>
      </c>
      <c r="C346" s="6" t="s">
        <v>21</v>
      </c>
      <c r="D346" s="6" t="s">
        <v>36</v>
      </c>
      <c r="E346" s="6" t="s">
        <v>28</v>
      </c>
      <c r="F346" s="6" t="str">
        <f>IF(E346="","Unknown",E346)</f>
        <v>Mobile</v>
      </c>
      <c r="G346" s="6" t="s">
        <v>45</v>
      </c>
      <c r="H346" s="6" t="str">
        <f>IF(G346="","Unknown",G346)</f>
        <v>Social</v>
      </c>
      <c r="I346" s="6" t="s">
        <v>34</v>
      </c>
      <c r="J346" s="6">
        <v>1</v>
      </c>
      <c r="K346" s="6">
        <v>1</v>
      </c>
      <c r="L346" s="6">
        <v>0</v>
      </c>
      <c r="M346" s="6">
        <v>0</v>
      </c>
      <c r="N346" s="6">
        <v>0</v>
      </c>
      <c r="O346" s="6">
        <v>0</v>
      </c>
      <c r="P346" s="6">
        <f>IF(O346&gt;0,1,0)</f>
        <v>0</v>
      </c>
      <c r="Q346" s="6">
        <v>0</v>
      </c>
      <c r="S346" s="6">
        <v>55.3</v>
      </c>
      <c r="T346" s="6">
        <f>IF(S346="",MEDIAN($S$2:$S$1409),S346)</f>
        <v>55.3</v>
      </c>
    </row>
    <row r="347" spans="1:20" ht="15" customHeight="1">
      <c r="A347" s="6" t="s">
        <v>381</v>
      </c>
      <c r="B347" s="7">
        <v>45728</v>
      </c>
      <c r="C347" s="6" t="s">
        <v>21</v>
      </c>
      <c r="D347" s="6" t="s">
        <v>32</v>
      </c>
      <c r="E347" s="6" t="s">
        <v>28</v>
      </c>
      <c r="F347" s="6" t="str">
        <f>IF(E347="","Unknown",E347)</f>
        <v>Mobile</v>
      </c>
      <c r="G347" s="6" t="s">
        <v>33</v>
      </c>
      <c r="H347" s="6" t="str">
        <f>IF(G347="","Unknown",G347)</f>
        <v>Paid Search</v>
      </c>
      <c r="I347" s="6" t="s">
        <v>30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f>IF(O347&gt;0,1,0)</f>
        <v>0</v>
      </c>
      <c r="Q347" s="6">
        <v>0</v>
      </c>
      <c r="S347" s="6">
        <v>37.5</v>
      </c>
      <c r="T347" s="6">
        <f>IF(S347="",MEDIAN($S$2:$S$1409),S347)</f>
        <v>37.5</v>
      </c>
    </row>
    <row r="348" spans="1:20" ht="15" customHeight="1">
      <c r="A348" s="6" t="s">
        <v>382</v>
      </c>
      <c r="B348" s="7">
        <v>45660</v>
      </c>
      <c r="C348" s="6" t="s">
        <v>21</v>
      </c>
      <c r="D348" s="6" t="s">
        <v>36</v>
      </c>
      <c r="E348" s="6" t="s">
        <v>23</v>
      </c>
      <c r="F348" s="6" t="str">
        <f>IF(E348="","Unknown",E348)</f>
        <v>Desktop</v>
      </c>
      <c r="G348" s="6" t="s">
        <v>33</v>
      </c>
      <c r="H348" s="6" t="str">
        <f>IF(G348="","Unknown",G348)</f>
        <v>Paid Search</v>
      </c>
      <c r="I348" s="6" t="s">
        <v>30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1</v>
      </c>
      <c r="P348" s="6">
        <f>IF(O348&gt;0,1,0)</f>
        <v>1</v>
      </c>
      <c r="Q348" s="6">
        <v>0</v>
      </c>
      <c r="S348" s="6">
        <v>66.400000000000006</v>
      </c>
      <c r="T348" s="6">
        <f>IF(S348="",MEDIAN($S$2:$S$1409),S348)</f>
        <v>66.400000000000006</v>
      </c>
    </row>
    <row r="349" spans="1:20" ht="15" customHeight="1">
      <c r="A349" s="6" t="s">
        <v>383</v>
      </c>
      <c r="B349" s="7">
        <v>45775</v>
      </c>
      <c r="C349" s="6" t="s">
        <v>21</v>
      </c>
      <c r="D349" s="6" t="s">
        <v>22</v>
      </c>
      <c r="E349" s="6" t="s">
        <v>38</v>
      </c>
      <c r="F349" s="6" t="str">
        <f>IF(E349="","Unknown",E349)</f>
        <v>Tablet</v>
      </c>
      <c r="G349" s="6" t="s">
        <v>45</v>
      </c>
      <c r="H349" s="6" t="str">
        <f>IF(G349="","Unknown",G349)</f>
        <v>Social</v>
      </c>
      <c r="I349" s="6" t="s">
        <v>25</v>
      </c>
      <c r="J349" s="6">
        <v>1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f>IF(O349&gt;0,1,0)</f>
        <v>0</v>
      </c>
      <c r="Q349" s="6">
        <v>0</v>
      </c>
      <c r="S349" s="6">
        <v>61.9</v>
      </c>
      <c r="T349" s="6">
        <f>IF(S349="",MEDIAN($S$2:$S$1409),S349)</f>
        <v>61.9</v>
      </c>
    </row>
    <row r="350" spans="1:20" ht="15" customHeight="1">
      <c r="A350" s="6" t="s">
        <v>384</v>
      </c>
      <c r="B350" s="7">
        <v>45764</v>
      </c>
      <c r="C350" s="6" t="s">
        <v>21</v>
      </c>
      <c r="D350" s="6" t="s">
        <v>32</v>
      </c>
      <c r="E350" s="6" t="s">
        <v>28</v>
      </c>
      <c r="F350" s="6" t="str">
        <f>IF(E350="","Unknown",E350)</f>
        <v>Mobile</v>
      </c>
      <c r="G350" s="6" t="s">
        <v>29</v>
      </c>
      <c r="H350" s="6" t="str">
        <f>IF(G350="","Unknown",G350)</f>
        <v>Organic</v>
      </c>
      <c r="I350" s="6" t="s">
        <v>30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f>IF(O350&gt;0,1,0)</f>
        <v>0</v>
      </c>
      <c r="Q350" s="6">
        <v>0</v>
      </c>
      <c r="S350" s="6">
        <v>56</v>
      </c>
      <c r="T350" s="6">
        <f>IF(S350="",MEDIAN($S$2:$S$1409),S350)</f>
        <v>56</v>
      </c>
    </row>
    <row r="351" spans="1:20" ht="15" customHeight="1">
      <c r="A351" s="6" t="s">
        <v>385</v>
      </c>
      <c r="B351" s="7">
        <v>45800</v>
      </c>
      <c r="C351" s="6" t="s">
        <v>21</v>
      </c>
      <c r="D351" s="6" t="s">
        <v>36</v>
      </c>
      <c r="E351" s="6" t="s">
        <v>23</v>
      </c>
      <c r="F351" s="6" t="str">
        <f>IF(E351="","Unknown",E351)</f>
        <v>Desktop</v>
      </c>
      <c r="G351" s="6" t="s">
        <v>45</v>
      </c>
      <c r="H351" s="6" t="str">
        <f>IF(G351="","Unknown",G351)</f>
        <v>Social</v>
      </c>
      <c r="I351" s="6" t="s">
        <v>25</v>
      </c>
      <c r="J351" s="6">
        <v>1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f>IF(O351&gt;0,1,0)</f>
        <v>0</v>
      </c>
      <c r="Q351" s="6">
        <v>0</v>
      </c>
      <c r="S351" s="6">
        <v>55.5</v>
      </c>
      <c r="T351" s="6">
        <f>IF(S351="",MEDIAN($S$2:$S$1409),S351)</f>
        <v>55.5</v>
      </c>
    </row>
    <row r="352" spans="1:20" ht="15" customHeight="1">
      <c r="A352" s="6" t="s">
        <v>386</v>
      </c>
      <c r="B352" s="7">
        <v>45707</v>
      </c>
      <c r="C352" s="6" t="s">
        <v>21</v>
      </c>
      <c r="D352" s="6" t="s">
        <v>27</v>
      </c>
      <c r="E352" s="6" t="s">
        <v>38</v>
      </c>
      <c r="F352" s="6" t="str">
        <f>IF(E352="","Unknown",E352)</f>
        <v>Tablet</v>
      </c>
      <c r="G352" s="6" t="s">
        <v>43</v>
      </c>
      <c r="H352" s="6" t="str">
        <f>IF(G352="","Unknown",G352)</f>
        <v>Referral</v>
      </c>
      <c r="I352" s="6" t="s">
        <v>25</v>
      </c>
      <c r="J352" s="6">
        <v>1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f>IF(O352&gt;0,1,0)</f>
        <v>0</v>
      </c>
      <c r="Q352" s="6">
        <v>0</v>
      </c>
      <c r="S352" s="6">
        <v>37.200000000000003</v>
      </c>
      <c r="T352" s="6">
        <f>IF(S352="",MEDIAN($S$2:$S$1409),S352)</f>
        <v>37.200000000000003</v>
      </c>
    </row>
    <row r="353" spans="1:20" ht="15" customHeight="1">
      <c r="A353" s="6" t="s">
        <v>387</v>
      </c>
      <c r="B353" s="7">
        <v>45675</v>
      </c>
      <c r="C353" s="6" t="s">
        <v>21</v>
      </c>
      <c r="D353" s="6" t="s">
        <v>36</v>
      </c>
      <c r="E353" s="6" t="s">
        <v>23</v>
      </c>
      <c r="F353" s="6" t="str">
        <f>IF(E353="","Unknown",E353)</f>
        <v>Desktop</v>
      </c>
      <c r="G353" s="6" t="s">
        <v>29</v>
      </c>
      <c r="H353" s="6" t="str">
        <f>IF(G353="","Unknown",G353)</f>
        <v>Organic</v>
      </c>
      <c r="I353" s="6" t="s">
        <v>30</v>
      </c>
      <c r="J353" s="6">
        <v>1</v>
      </c>
      <c r="K353" s="6">
        <v>1</v>
      </c>
      <c r="L353" s="6">
        <v>0</v>
      </c>
      <c r="M353" s="6">
        <v>0</v>
      </c>
      <c r="N353" s="6">
        <v>0</v>
      </c>
      <c r="O353" s="6">
        <v>1</v>
      </c>
      <c r="P353" s="6">
        <f>IF(O353&gt;0,1,0)</f>
        <v>1</v>
      </c>
      <c r="Q353" s="6">
        <v>0</v>
      </c>
      <c r="S353" s="6">
        <v>70.5</v>
      </c>
      <c r="T353" s="6">
        <f>IF(S353="",MEDIAN($S$2:$S$1409),S353)</f>
        <v>70.5</v>
      </c>
    </row>
    <row r="354" spans="1:20" ht="15" customHeight="1">
      <c r="A354" s="6" t="s">
        <v>388</v>
      </c>
      <c r="B354" s="7">
        <v>45764</v>
      </c>
      <c r="C354" s="6" t="s">
        <v>21</v>
      </c>
      <c r="D354" s="6" t="s">
        <v>22</v>
      </c>
      <c r="E354" s="6" t="s">
        <v>28</v>
      </c>
      <c r="F354" s="6" t="str">
        <f>IF(E354="","Unknown",E354)</f>
        <v>Mobile</v>
      </c>
      <c r="G354" s="6" t="s">
        <v>29</v>
      </c>
      <c r="H354" s="6" t="str">
        <f>IF(G354="","Unknown",G354)</f>
        <v>Organic</v>
      </c>
      <c r="I354" s="6" t="s">
        <v>30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f>IF(O354&gt;0,1,0)</f>
        <v>0</v>
      </c>
      <c r="Q354" s="6">
        <v>0</v>
      </c>
      <c r="S354" s="6">
        <v>61.2</v>
      </c>
      <c r="T354" s="6">
        <f>IF(S354="",MEDIAN($S$2:$S$1409),S354)</f>
        <v>61.2</v>
      </c>
    </row>
    <row r="355" spans="1:20" ht="15" customHeight="1">
      <c r="A355" s="6" t="s">
        <v>389</v>
      </c>
      <c r="B355" s="7">
        <v>45759</v>
      </c>
      <c r="C355" s="6" t="s">
        <v>21</v>
      </c>
      <c r="D355" s="6" t="s">
        <v>32</v>
      </c>
      <c r="E355" s="6" t="s">
        <v>38</v>
      </c>
      <c r="F355" s="6" t="str">
        <f>IF(E355="","Unknown",E355)</f>
        <v>Tablet</v>
      </c>
      <c r="G355" s="6" t="s">
        <v>45</v>
      </c>
      <c r="H355" s="6" t="str">
        <f>IF(G355="","Unknown",G355)</f>
        <v>Social</v>
      </c>
      <c r="I355" s="6" t="s">
        <v>30</v>
      </c>
      <c r="J355" s="6">
        <v>1</v>
      </c>
      <c r="K355" s="6">
        <v>1</v>
      </c>
      <c r="L355" s="6">
        <v>1</v>
      </c>
      <c r="M355" s="6">
        <v>0</v>
      </c>
      <c r="N355" s="6">
        <v>0</v>
      </c>
      <c r="O355" s="6">
        <v>0</v>
      </c>
      <c r="P355" s="6">
        <f>IF(O355&gt;0,1,0)</f>
        <v>0</v>
      </c>
      <c r="Q355" s="6">
        <v>0</v>
      </c>
      <c r="S355" s="6">
        <v>64.599999999999994</v>
      </c>
      <c r="T355" s="6">
        <f>IF(S355="",MEDIAN($S$2:$S$1409),S355)</f>
        <v>64.599999999999994</v>
      </c>
    </row>
    <row r="356" spans="1:20" ht="15" customHeight="1">
      <c r="A356" s="6" t="s">
        <v>390</v>
      </c>
      <c r="B356" s="7">
        <v>45793</v>
      </c>
      <c r="C356" s="6" t="s">
        <v>21</v>
      </c>
      <c r="D356" s="6" t="s">
        <v>32</v>
      </c>
      <c r="E356" s="6" t="s">
        <v>28</v>
      </c>
      <c r="F356" s="6" t="str">
        <f>IF(E356="","Unknown",E356)</f>
        <v>Mobile</v>
      </c>
      <c r="G356" s="6" t="s">
        <v>24</v>
      </c>
      <c r="H356" s="6" t="str">
        <f>IF(G356="","Unknown",G356)</f>
        <v>Email</v>
      </c>
      <c r="I356" s="6" t="s">
        <v>30</v>
      </c>
      <c r="J356" s="6">
        <v>1</v>
      </c>
      <c r="K356" s="6">
        <v>1</v>
      </c>
      <c r="L356" s="6">
        <v>0</v>
      </c>
      <c r="M356" s="6">
        <v>0</v>
      </c>
      <c r="N356" s="6">
        <v>0</v>
      </c>
      <c r="O356" s="6">
        <v>0</v>
      </c>
      <c r="P356" s="6">
        <f>IF(O356&gt;0,1,0)</f>
        <v>0</v>
      </c>
      <c r="Q356" s="6">
        <v>0</v>
      </c>
      <c r="S356" s="6">
        <v>91.7</v>
      </c>
      <c r="T356" s="6">
        <f>IF(S356="",MEDIAN($S$2:$S$1409),S356)</f>
        <v>91.7</v>
      </c>
    </row>
    <row r="357" spans="1:20" ht="15" customHeight="1">
      <c r="A357" s="6" t="s">
        <v>391</v>
      </c>
      <c r="B357" s="7">
        <v>45740</v>
      </c>
      <c r="C357" s="6" t="s">
        <v>21</v>
      </c>
      <c r="D357" s="6" t="s">
        <v>27</v>
      </c>
      <c r="E357" s="6" t="s">
        <v>28</v>
      </c>
      <c r="F357" s="6" t="str">
        <f>IF(E357="","Unknown",E357)</f>
        <v>Mobile</v>
      </c>
      <c r="G357" s="6" t="s">
        <v>45</v>
      </c>
      <c r="H357" s="6" t="str">
        <f>IF(G357="","Unknown",G357)</f>
        <v>Social</v>
      </c>
      <c r="I357" s="6" t="s">
        <v>30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f>IF(O357&gt;0,1,0)</f>
        <v>0</v>
      </c>
      <c r="Q357" s="6">
        <v>0</v>
      </c>
      <c r="S357" s="6">
        <v>46</v>
      </c>
      <c r="T357" s="6">
        <f>IF(S357="",MEDIAN($S$2:$S$1409),S357)</f>
        <v>46</v>
      </c>
    </row>
    <row r="358" spans="1:20" ht="15" customHeight="1">
      <c r="A358" s="6" t="s">
        <v>392</v>
      </c>
      <c r="B358" s="7">
        <v>45704</v>
      </c>
      <c r="C358" s="6" t="s">
        <v>21</v>
      </c>
      <c r="D358" s="6" t="s">
        <v>27</v>
      </c>
      <c r="E358" s="6" t="s">
        <v>28</v>
      </c>
      <c r="F358" s="6" t="str">
        <f>IF(E358="","Unknown",E358)</f>
        <v>Mobile</v>
      </c>
      <c r="G358" s="6" t="s">
        <v>29</v>
      </c>
      <c r="H358" s="6" t="str">
        <f>IF(G358="","Unknown",G358)</f>
        <v>Organic</v>
      </c>
      <c r="I358" s="6" t="s">
        <v>25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f>IF(O358&gt;0,1,0)</f>
        <v>0</v>
      </c>
      <c r="Q358" s="6">
        <v>0</v>
      </c>
      <c r="S358" s="6">
        <v>50.8</v>
      </c>
      <c r="T358" s="6">
        <f>IF(S358="",MEDIAN($S$2:$S$1409),S358)</f>
        <v>50.8</v>
      </c>
    </row>
    <row r="359" spans="1:20" ht="15" customHeight="1">
      <c r="A359" s="6" t="s">
        <v>393</v>
      </c>
      <c r="B359" s="7">
        <v>45735</v>
      </c>
      <c r="C359" s="6" t="s">
        <v>21</v>
      </c>
      <c r="D359" s="6" t="s">
        <v>22</v>
      </c>
      <c r="E359" s="6" t="s">
        <v>38</v>
      </c>
      <c r="F359" s="6" t="str">
        <f>IF(E359="","Unknown",E359)</f>
        <v>Tablet</v>
      </c>
      <c r="G359" s="6" t="s">
        <v>29</v>
      </c>
      <c r="H359" s="6" t="str">
        <f>IF(G359="","Unknown",G359)</f>
        <v>Organic</v>
      </c>
      <c r="I359" s="6" t="s">
        <v>30</v>
      </c>
      <c r="J359" s="6">
        <v>1</v>
      </c>
      <c r="K359" s="6">
        <v>1</v>
      </c>
      <c r="L359" s="6">
        <v>1</v>
      </c>
      <c r="M359" s="6">
        <v>0</v>
      </c>
      <c r="N359" s="6">
        <v>0</v>
      </c>
      <c r="O359" s="6">
        <v>0</v>
      </c>
      <c r="P359" s="6">
        <f>IF(O359&gt;0,1,0)</f>
        <v>0</v>
      </c>
      <c r="Q359" s="6">
        <v>0</v>
      </c>
      <c r="S359" s="6">
        <v>52.8</v>
      </c>
      <c r="T359" s="6">
        <f>IF(S359="",MEDIAN($S$2:$S$1409),S359)</f>
        <v>52.8</v>
      </c>
    </row>
    <row r="360" spans="1:20" ht="15" customHeight="1">
      <c r="A360" s="6" t="s">
        <v>394</v>
      </c>
      <c r="B360" s="7">
        <v>45768</v>
      </c>
      <c r="C360" s="6" t="s">
        <v>21</v>
      </c>
      <c r="D360" s="6" t="s">
        <v>36</v>
      </c>
      <c r="E360" s="6" t="s">
        <v>28</v>
      </c>
      <c r="F360" s="6" t="str">
        <f>IF(E360="","Unknown",E360)</f>
        <v>Mobile</v>
      </c>
      <c r="G360" s="6" t="s">
        <v>29</v>
      </c>
      <c r="H360" s="6" t="str">
        <f>IF(G360="","Unknown",G360)</f>
        <v>Organic</v>
      </c>
      <c r="I360" s="6" t="s">
        <v>25</v>
      </c>
      <c r="J360" s="6">
        <v>1</v>
      </c>
      <c r="K360" s="6">
        <v>1</v>
      </c>
      <c r="L360" s="6">
        <v>1</v>
      </c>
      <c r="M360" s="6">
        <v>0</v>
      </c>
      <c r="N360" s="6">
        <v>0</v>
      </c>
      <c r="O360" s="6">
        <v>0</v>
      </c>
      <c r="P360" s="6">
        <f>IF(O360&gt;0,1,0)</f>
        <v>0</v>
      </c>
      <c r="Q360" s="6">
        <v>0</v>
      </c>
      <c r="S360" s="6">
        <v>63</v>
      </c>
      <c r="T360" s="6">
        <f>IF(S360="",MEDIAN($S$2:$S$1409),S360)</f>
        <v>63</v>
      </c>
    </row>
    <row r="361" spans="1:20" ht="15" customHeight="1">
      <c r="A361" s="6" t="s">
        <v>395</v>
      </c>
      <c r="B361" s="7">
        <v>45668</v>
      </c>
      <c r="C361" s="6" t="s">
        <v>21</v>
      </c>
      <c r="D361" s="6" t="s">
        <v>27</v>
      </c>
      <c r="E361" s="6" t="s">
        <v>28</v>
      </c>
      <c r="F361" s="6" t="str">
        <f>IF(E361="","Unknown",E361)</f>
        <v>Mobile</v>
      </c>
      <c r="G361" s="6" t="s">
        <v>29</v>
      </c>
      <c r="H361" s="6" t="str">
        <f>IF(G361="","Unknown",G361)</f>
        <v>Organic</v>
      </c>
      <c r="I361" s="6" t="s">
        <v>30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f>IF(O361&gt;0,1,0)</f>
        <v>0</v>
      </c>
      <c r="Q361" s="6">
        <v>0</v>
      </c>
      <c r="S361" s="6">
        <v>28.4</v>
      </c>
      <c r="T361" s="6">
        <f>IF(S361="",MEDIAN($S$2:$S$1409),S361)</f>
        <v>28.4</v>
      </c>
    </row>
    <row r="362" spans="1:20" ht="15" customHeight="1">
      <c r="A362" s="6" t="s">
        <v>396</v>
      </c>
      <c r="B362" s="7">
        <v>45771</v>
      </c>
      <c r="C362" s="6" t="s">
        <v>21</v>
      </c>
      <c r="D362" s="6" t="s">
        <v>27</v>
      </c>
      <c r="E362" s="6" t="s">
        <v>23</v>
      </c>
      <c r="F362" s="6" t="str">
        <f>IF(E362="","Unknown",E362)</f>
        <v>Desktop</v>
      </c>
      <c r="G362" s="6" t="s">
        <v>29</v>
      </c>
      <c r="H362" s="6" t="str">
        <f>IF(G362="","Unknown",G362)</f>
        <v>Organic</v>
      </c>
      <c r="I362" s="6" t="s">
        <v>30</v>
      </c>
      <c r="J362" s="6">
        <v>1</v>
      </c>
      <c r="K362" s="6">
        <v>1</v>
      </c>
      <c r="L362" s="6">
        <v>0</v>
      </c>
      <c r="M362" s="6">
        <v>0</v>
      </c>
      <c r="N362" s="6">
        <v>0</v>
      </c>
      <c r="O362" s="6">
        <v>0</v>
      </c>
      <c r="P362" s="6">
        <f>IF(O362&gt;0,1,0)</f>
        <v>0</v>
      </c>
      <c r="Q362" s="6">
        <v>0</v>
      </c>
      <c r="S362" s="6">
        <v>65.599999999999994</v>
      </c>
      <c r="T362" s="6">
        <f>IF(S362="",MEDIAN($S$2:$S$1409),S362)</f>
        <v>65.599999999999994</v>
      </c>
    </row>
    <row r="363" spans="1:20" ht="15" customHeight="1">
      <c r="A363" s="6" t="s">
        <v>397</v>
      </c>
      <c r="B363" s="7">
        <v>45729</v>
      </c>
      <c r="C363" s="6" t="s">
        <v>21</v>
      </c>
      <c r="D363" s="6" t="s">
        <v>22</v>
      </c>
      <c r="E363" s="6" t="s">
        <v>28</v>
      </c>
      <c r="F363" s="6" t="str">
        <f>IF(E363="","Unknown",E363)</f>
        <v>Mobile</v>
      </c>
      <c r="G363" s="6" t="s">
        <v>45</v>
      </c>
      <c r="H363" s="6" t="str">
        <f>IF(G363="","Unknown",G363)</f>
        <v>Social</v>
      </c>
      <c r="I363" s="6" t="s">
        <v>34</v>
      </c>
      <c r="J363" s="6">
        <v>1</v>
      </c>
      <c r="K363" s="6">
        <v>1</v>
      </c>
      <c r="L363" s="6">
        <v>1</v>
      </c>
      <c r="M363" s="6">
        <v>0</v>
      </c>
      <c r="N363" s="6">
        <v>0</v>
      </c>
      <c r="O363" s="6">
        <v>0</v>
      </c>
      <c r="P363" s="6">
        <f>IF(O363&gt;0,1,0)</f>
        <v>0</v>
      </c>
      <c r="Q363" s="6">
        <v>0</v>
      </c>
      <c r="S363" s="6">
        <v>54.7</v>
      </c>
      <c r="T363" s="6">
        <f>IF(S363="",MEDIAN($S$2:$S$1409),S363)</f>
        <v>54.7</v>
      </c>
    </row>
    <row r="364" spans="1:20" ht="15" customHeight="1">
      <c r="A364" s="6" t="s">
        <v>398</v>
      </c>
      <c r="B364" s="7">
        <v>45687</v>
      </c>
      <c r="C364" s="6" t="s">
        <v>21</v>
      </c>
      <c r="D364" s="6" t="s">
        <v>22</v>
      </c>
      <c r="E364" s="6" t="s">
        <v>28</v>
      </c>
      <c r="F364" s="6" t="str">
        <f>IF(E364="","Unknown",E364)</f>
        <v>Mobile</v>
      </c>
      <c r="G364" s="6" t="s">
        <v>45</v>
      </c>
      <c r="H364" s="6" t="str">
        <f>IF(G364="","Unknown",G364)</f>
        <v>Social</v>
      </c>
      <c r="I364" s="6" t="s">
        <v>25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f>IF(O364&gt;0,1,0)</f>
        <v>0</v>
      </c>
      <c r="Q364" s="6">
        <v>0</v>
      </c>
      <c r="S364" s="6">
        <v>36.1</v>
      </c>
      <c r="T364" s="6">
        <f>IF(S364="",MEDIAN($S$2:$S$1409),S364)</f>
        <v>36.1</v>
      </c>
    </row>
    <row r="365" spans="1:20" ht="15" customHeight="1">
      <c r="A365" s="6" t="s">
        <v>399</v>
      </c>
      <c r="B365" s="7">
        <v>45785</v>
      </c>
      <c r="C365" s="6" t="s">
        <v>21</v>
      </c>
      <c r="D365" s="6" t="s">
        <v>36</v>
      </c>
      <c r="E365" s="6" t="s">
        <v>28</v>
      </c>
      <c r="F365" s="6" t="str">
        <f>IF(E365="","Unknown",E365)</f>
        <v>Mobile</v>
      </c>
      <c r="G365" s="6" t="s">
        <v>45</v>
      </c>
      <c r="H365" s="6" t="str">
        <f>IF(G365="","Unknown",G365)</f>
        <v>Social</v>
      </c>
      <c r="I365" s="6" t="s">
        <v>25</v>
      </c>
      <c r="J365" s="6">
        <v>1</v>
      </c>
      <c r="K365" s="6">
        <v>1</v>
      </c>
      <c r="L365" s="6">
        <v>1</v>
      </c>
      <c r="M365" s="6">
        <v>0</v>
      </c>
      <c r="N365" s="6">
        <v>0</v>
      </c>
      <c r="O365" s="6">
        <v>0</v>
      </c>
      <c r="P365" s="6">
        <f>IF(O365&gt;0,1,0)</f>
        <v>0</v>
      </c>
      <c r="Q365" s="6">
        <v>0</v>
      </c>
      <c r="S365" s="6">
        <v>70.400000000000006</v>
      </c>
      <c r="T365" s="6">
        <f>IF(S365="",MEDIAN($S$2:$S$1409),S365)</f>
        <v>70.400000000000006</v>
      </c>
    </row>
    <row r="366" spans="1:20" ht="15" customHeight="1">
      <c r="A366" s="6" t="s">
        <v>400</v>
      </c>
      <c r="B366" s="7">
        <v>45665</v>
      </c>
      <c r="C366" s="6" t="s">
        <v>21</v>
      </c>
      <c r="D366" s="6" t="s">
        <v>32</v>
      </c>
      <c r="E366" s="6" t="s">
        <v>23</v>
      </c>
      <c r="F366" s="6" t="str">
        <f>IF(E366="","Unknown",E366)</f>
        <v>Desktop</v>
      </c>
      <c r="G366" s="6" t="s">
        <v>45</v>
      </c>
      <c r="H366" s="6" t="str">
        <f>IF(G366="","Unknown",G366)</f>
        <v>Social</v>
      </c>
      <c r="I366" s="6" t="s">
        <v>30</v>
      </c>
      <c r="J366" s="6">
        <v>1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f>IF(O366&gt;0,1,0)</f>
        <v>0</v>
      </c>
      <c r="Q366" s="6">
        <v>0</v>
      </c>
      <c r="S366" s="6">
        <v>56.4</v>
      </c>
      <c r="T366" s="6">
        <f>IF(S366="",MEDIAN($S$2:$S$1409),S366)</f>
        <v>56.4</v>
      </c>
    </row>
    <row r="367" spans="1:20" ht="15" customHeight="1">
      <c r="A367" s="6" t="s">
        <v>401</v>
      </c>
      <c r="B367" s="7">
        <v>45780</v>
      </c>
      <c r="C367" s="6" t="s">
        <v>21</v>
      </c>
      <c r="D367" s="6" t="s">
        <v>36</v>
      </c>
      <c r="E367" s="6" t="s">
        <v>28</v>
      </c>
      <c r="F367" s="6" t="str">
        <f>IF(E367="","Unknown",E367)</f>
        <v>Mobile</v>
      </c>
      <c r="G367" s="6" t="s">
        <v>29</v>
      </c>
      <c r="H367" s="6" t="str">
        <f>IF(G367="","Unknown",G367)</f>
        <v>Organic</v>
      </c>
      <c r="I367" s="6" t="s">
        <v>30</v>
      </c>
      <c r="J367" s="6">
        <v>1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f>IF(O367&gt;0,1,0)</f>
        <v>0</v>
      </c>
      <c r="Q367" s="6">
        <v>0</v>
      </c>
      <c r="S367" s="6">
        <v>79.2</v>
      </c>
      <c r="T367" s="6">
        <f>IF(S367="",MEDIAN($S$2:$S$1409),S367)</f>
        <v>79.2</v>
      </c>
    </row>
    <row r="368" spans="1:20" ht="15" customHeight="1">
      <c r="A368" s="6" t="s">
        <v>402</v>
      </c>
      <c r="B368" s="7">
        <v>45700</v>
      </c>
      <c r="C368" s="6" t="s">
        <v>21</v>
      </c>
      <c r="D368" s="6" t="s">
        <v>32</v>
      </c>
      <c r="E368" s="6" t="s">
        <v>28</v>
      </c>
      <c r="F368" s="6" t="str">
        <f>IF(E368="","Unknown",E368)</f>
        <v>Mobile</v>
      </c>
      <c r="G368" s="6" t="s">
        <v>33</v>
      </c>
      <c r="H368" s="6" t="str">
        <f>IF(G368="","Unknown",G368)</f>
        <v>Paid Search</v>
      </c>
      <c r="I368" s="6" t="s">
        <v>30</v>
      </c>
      <c r="J368" s="6">
        <v>1</v>
      </c>
      <c r="K368" s="6">
        <v>1</v>
      </c>
      <c r="L368" s="6">
        <v>1</v>
      </c>
      <c r="M368" s="6">
        <v>0</v>
      </c>
      <c r="N368" s="6">
        <v>0</v>
      </c>
      <c r="O368" s="6">
        <v>0</v>
      </c>
      <c r="P368" s="6">
        <f>IF(O368&gt;0,1,0)</f>
        <v>0</v>
      </c>
      <c r="Q368" s="6">
        <v>0</v>
      </c>
      <c r="S368" s="6">
        <v>60.1</v>
      </c>
      <c r="T368" s="6">
        <f>IF(S368="",MEDIAN($S$2:$S$1409),S368)</f>
        <v>60.1</v>
      </c>
    </row>
    <row r="369" spans="1:20" ht="15" customHeight="1">
      <c r="A369" s="6" t="s">
        <v>403</v>
      </c>
      <c r="B369" s="7">
        <v>45713</v>
      </c>
      <c r="C369" s="6" t="s">
        <v>21</v>
      </c>
      <c r="D369" s="6" t="s">
        <v>36</v>
      </c>
      <c r="E369" s="6" t="s">
        <v>38</v>
      </c>
      <c r="F369" s="6" t="str">
        <f>IF(E369="","Unknown",E369)</f>
        <v>Tablet</v>
      </c>
      <c r="G369" s="6" t="s">
        <v>29</v>
      </c>
      <c r="H369" s="6" t="str">
        <f>IF(G369="","Unknown",G369)</f>
        <v>Organic</v>
      </c>
      <c r="I369" s="6" t="s">
        <v>30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f>IF(O369&gt;0,1,0)</f>
        <v>0</v>
      </c>
      <c r="Q369" s="6">
        <v>0</v>
      </c>
      <c r="S369" s="6">
        <v>58</v>
      </c>
      <c r="T369" s="6">
        <f>IF(S369="",MEDIAN($S$2:$S$1409),S369)</f>
        <v>58</v>
      </c>
    </row>
    <row r="370" spans="1:20" ht="15" customHeight="1">
      <c r="A370" s="6" t="s">
        <v>404</v>
      </c>
      <c r="B370" s="7">
        <v>45761</v>
      </c>
      <c r="C370" s="6" t="s">
        <v>21</v>
      </c>
      <c r="D370" s="6" t="s">
        <v>36</v>
      </c>
      <c r="E370" s="6" t="s">
        <v>28</v>
      </c>
      <c r="F370" s="6" t="str">
        <f>IF(E370="","Unknown",E370)</f>
        <v>Mobile</v>
      </c>
      <c r="G370" s="6" t="s">
        <v>43</v>
      </c>
      <c r="H370" s="6" t="str">
        <f>IF(G370="","Unknown",G370)</f>
        <v>Referral</v>
      </c>
      <c r="I370" s="6" t="s">
        <v>30</v>
      </c>
      <c r="J370" s="6">
        <v>1</v>
      </c>
      <c r="K370" s="6">
        <v>1</v>
      </c>
      <c r="L370" s="6">
        <v>1</v>
      </c>
      <c r="M370" s="6">
        <v>0</v>
      </c>
      <c r="N370" s="6">
        <v>0</v>
      </c>
      <c r="O370" s="6">
        <v>0</v>
      </c>
      <c r="P370" s="6">
        <f>IF(O370&gt;0,1,0)</f>
        <v>0</v>
      </c>
      <c r="Q370" s="6">
        <v>0</v>
      </c>
      <c r="S370" s="6">
        <v>69</v>
      </c>
      <c r="T370" s="6">
        <f>IF(S370="",MEDIAN($S$2:$S$1409),S370)</f>
        <v>69</v>
      </c>
    </row>
    <row r="371" spans="1:20" ht="15" customHeight="1">
      <c r="A371" s="6" t="s">
        <v>405</v>
      </c>
      <c r="B371" s="7">
        <v>45665</v>
      </c>
      <c r="C371" s="6" t="s">
        <v>21</v>
      </c>
      <c r="D371" s="6" t="s">
        <v>22</v>
      </c>
      <c r="E371" s="6" t="s">
        <v>28</v>
      </c>
      <c r="F371" s="6" t="str">
        <f>IF(E371="","Unknown",E371)</f>
        <v>Mobile</v>
      </c>
      <c r="G371" s="6" t="s">
        <v>43</v>
      </c>
      <c r="H371" s="6" t="str">
        <f>IF(G371="","Unknown",G371)</f>
        <v>Referral</v>
      </c>
      <c r="I371" s="6" t="s">
        <v>34</v>
      </c>
      <c r="J371" s="6">
        <v>1</v>
      </c>
      <c r="K371" s="6">
        <v>1</v>
      </c>
      <c r="L371" s="6">
        <v>1</v>
      </c>
      <c r="M371" s="6">
        <v>0</v>
      </c>
      <c r="N371" s="6">
        <v>0</v>
      </c>
      <c r="O371" s="6">
        <v>1</v>
      </c>
      <c r="P371" s="6">
        <f>IF(O371&gt;0,1,0)</f>
        <v>1</v>
      </c>
      <c r="Q371" s="6">
        <v>0</v>
      </c>
      <c r="S371" s="6">
        <v>80.8</v>
      </c>
      <c r="T371" s="6">
        <f>IF(S371="",MEDIAN($S$2:$S$1409),S371)</f>
        <v>80.8</v>
      </c>
    </row>
    <row r="372" spans="1:20" ht="15" customHeight="1">
      <c r="A372" s="6" t="s">
        <v>406</v>
      </c>
      <c r="B372" s="7">
        <v>45730</v>
      </c>
      <c r="C372" s="6" t="s">
        <v>21</v>
      </c>
      <c r="D372" s="6" t="s">
        <v>32</v>
      </c>
      <c r="E372" s="6" t="s">
        <v>28</v>
      </c>
      <c r="F372" s="6" t="str">
        <f>IF(E372="","Unknown",E372)</f>
        <v>Mobile</v>
      </c>
      <c r="G372" s="6" t="s">
        <v>24</v>
      </c>
      <c r="H372" s="6" t="str">
        <f>IF(G372="","Unknown",G372)</f>
        <v>Email</v>
      </c>
      <c r="I372" s="6" t="s">
        <v>30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f>IF(O372&gt;0,1,0)</f>
        <v>0</v>
      </c>
      <c r="Q372" s="6">
        <v>0</v>
      </c>
      <c r="S372" s="6">
        <v>32.799999999999997</v>
      </c>
      <c r="T372" s="6">
        <f>IF(S372="",MEDIAN($S$2:$S$1409),S372)</f>
        <v>32.799999999999997</v>
      </c>
    </row>
    <row r="373" spans="1:20" ht="15" customHeight="1">
      <c r="A373" s="6" t="s">
        <v>407</v>
      </c>
      <c r="B373" s="7">
        <v>45776</v>
      </c>
      <c r="C373" s="6" t="s">
        <v>21</v>
      </c>
      <c r="D373" s="6" t="s">
        <v>22</v>
      </c>
      <c r="E373" s="6" t="s">
        <v>23</v>
      </c>
      <c r="F373" s="6" t="str">
        <f>IF(E373="","Unknown",E373)</f>
        <v>Desktop</v>
      </c>
      <c r="G373" s="6" t="s">
        <v>33</v>
      </c>
      <c r="H373" s="6" t="str">
        <f>IF(G373="","Unknown",G373)</f>
        <v>Paid Search</v>
      </c>
      <c r="I373" s="6" t="s">
        <v>34</v>
      </c>
      <c r="J373" s="6">
        <v>1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f>IF(O373&gt;0,1,0)</f>
        <v>0</v>
      </c>
      <c r="Q373" s="6">
        <v>0</v>
      </c>
      <c r="S373" s="6">
        <v>56</v>
      </c>
      <c r="T373" s="6">
        <f>IF(S373="",MEDIAN($S$2:$S$1409),S373)</f>
        <v>56</v>
      </c>
    </row>
    <row r="374" spans="1:20" ht="15" customHeight="1">
      <c r="A374" s="6" t="s">
        <v>408</v>
      </c>
      <c r="B374" s="7">
        <v>45778</v>
      </c>
      <c r="C374" s="6" t="s">
        <v>21</v>
      </c>
      <c r="D374" s="6" t="s">
        <v>32</v>
      </c>
      <c r="E374" s="6" t="s">
        <v>23</v>
      </c>
      <c r="F374" s="6" t="str">
        <f>IF(E374="","Unknown",E374)</f>
        <v>Desktop</v>
      </c>
      <c r="G374" s="6" t="s">
        <v>45</v>
      </c>
      <c r="H374" s="6" t="str">
        <f>IF(G374="","Unknown",G374)</f>
        <v>Social</v>
      </c>
      <c r="I374" s="6" t="s">
        <v>30</v>
      </c>
      <c r="J374" s="6">
        <v>1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f>IF(O374&gt;0,1,0)</f>
        <v>0</v>
      </c>
      <c r="Q374" s="6">
        <v>0</v>
      </c>
      <c r="S374" s="6">
        <v>76.400000000000006</v>
      </c>
      <c r="T374" s="6">
        <f>IF(S374="",MEDIAN($S$2:$S$1409),S374)</f>
        <v>76.400000000000006</v>
      </c>
    </row>
    <row r="375" spans="1:20" ht="15" customHeight="1">
      <c r="A375" s="6" t="s">
        <v>409</v>
      </c>
      <c r="B375" s="7">
        <v>45735</v>
      </c>
      <c r="C375" s="6" t="s">
        <v>21</v>
      </c>
      <c r="D375" s="6" t="s">
        <v>22</v>
      </c>
      <c r="E375" s="6" t="s">
        <v>28</v>
      </c>
      <c r="F375" s="6" t="str">
        <f>IF(E375="","Unknown",E375)</f>
        <v>Mobile</v>
      </c>
      <c r="G375" s="6" t="s">
        <v>43</v>
      </c>
      <c r="H375" s="6" t="str">
        <f>IF(G375="","Unknown",G375)</f>
        <v>Referral</v>
      </c>
      <c r="I375" s="6" t="s">
        <v>30</v>
      </c>
      <c r="J375" s="6">
        <v>1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f>IF(O375&gt;0,1,0)</f>
        <v>0</v>
      </c>
      <c r="Q375" s="6">
        <v>0</v>
      </c>
      <c r="S375" s="6">
        <v>28.5</v>
      </c>
      <c r="T375" s="6">
        <f>IF(S375="",MEDIAN($S$2:$S$1409),S375)</f>
        <v>28.5</v>
      </c>
    </row>
    <row r="376" spans="1:20" ht="15" customHeight="1">
      <c r="A376" s="6" t="s">
        <v>410</v>
      </c>
      <c r="B376" s="7">
        <v>45778</v>
      </c>
      <c r="C376" s="6" t="s">
        <v>21</v>
      </c>
      <c r="D376" s="6" t="s">
        <v>36</v>
      </c>
      <c r="E376" s="6" t="s">
        <v>23</v>
      </c>
      <c r="F376" s="6" t="str">
        <f>IF(E376="","Unknown",E376)</f>
        <v>Desktop</v>
      </c>
      <c r="G376" s="6" t="s">
        <v>45</v>
      </c>
      <c r="H376" s="6" t="str">
        <f>IF(G376="","Unknown",G376)</f>
        <v>Social</v>
      </c>
      <c r="I376" s="6" t="s">
        <v>25</v>
      </c>
      <c r="J376" s="6">
        <v>1</v>
      </c>
      <c r="K376" s="6">
        <v>1</v>
      </c>
      <c r="L376" s="6">
        <v>1</v>
      </c>
      <c r="M376" s="6">
        <v>0</v>
      </c>
      <c r="N376" s="6">
        <v>0</v>
      </c>
      <c r="O376" s="6">
        <v>0</v>
      </c>
      <c r="P376" s="6">
        <f>IF(O376&gt;0,1,0)</f>
        <v>0</v>
      </c>
      <c r="Q376" s="6">
        <v>0</v>
      </c>
      <c r="S376" s="6">
        <v>48.3</v>
      </c>
      <c r="T376" s="6">
        <f>IF(S376="",MEDIAN($S$2:$S$1409),S376)</f>
        <v>48.3</v>
      </c>
    </row>
    <row r="377" spans="1:20" ht="15" customHeight="1">
      <c r="A377" s="6" t="s">
        <v>411</v>
      </c>
      <c r="B377" s="7">
        <v>45730</v>
      </c>
      <c r="C377" s="6" t="s">
        <v>21</v>
      </c>
      <c r="D377" s="6" t="s">
        <v>27</v>
      </c>
      <c r="E377" s="6" t="s">
        <v>28</v>
      </c>
      <c r="F377" s="6" t="str">
        <f>IF(E377="","Unknown",E377)</f>
        <v>Mobile</v>
      </c>
      <c r="G377" s="6" t="s">
        <v>29</v>
      </c>
      <c r="H377" s="6" t="str">
        <f>IF(G377="","Unknown",G377)</f>
        <v>Organic</v>
      </c>
      <c r="I377" s="6" t="s">
        <v>30</v>
      </c>
      <c r="J377" s="6">
        <v>1</v>
      </c>
      <c r="K377" s="6">
        <v>1</v>
      </c>
      <c r="L377" s="6">
        <v>0</v>
      </c>
      <c r="M377" s="6">
        <v>0</v>
      </c>
      <c r="N377" s="6">
        <v>0</v>
      </c>
      <c r="O377" s="6">
        <v>0</v>
      </c>
      <c r="P377" s="6">
        <f>IF(O377&gt;0,1,0)</f>
        <v>0</v>
      </c>
      <c r="Q377" s="6">
        <v>0</v>
      </c>
      <c r="S377" s="6">
        <v>43.4</v>
      </c>
      <c r="T377" s="6">
        <f>IF(S377="",MEDIAN($S$2:$S$1409),S377)</f>
        <v>43.4</v>
      </c>
    </row>
    <row r="378" spans="1:20" ht="15" customHeight="1">
      <c r="A378" s="6" t="s">
        <v>412</v>
      </c>
      <c r="B378" s="7">
        <v>45739</v>
      </c>
      <c r="C378" s="6" t="s">
        <v>21</v>
      </c>
      <c r="D378" s="6" t="s">
        <v>22</v>
      </c>
      <c r="E378" s="6" t="s">
        <v>28</v>
      </c>
      <c r="F378" s="6" t="str">
        <f>IF(E378="","Unknown",E378)</f>
        <v>Mobile</v>
      </c>
      <c r="G378" s="6" t="s">
        <v>33</v>
      </c>
      <c r="H378" s="6" t="str">
        <f>IF(G378="","Unknown",G378)</f>
        <v>Paid Search</v>
      </c>
      <c r="I378" s="6" t="s">
        <v>30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f>IF(O378&gt;0,1,0)</f>
        <v>0</v>
      </c>
      <c r="Q378" s="6">
        <v>0</v>
      </c>
      <c r="S378" s="6">
        <v>43</v>
      </c>
      <c r="T378" s="6">
        <f>IF(S378="",MEDIAN($S$2:$S$1409),S378)</f>
        <v>43</v>
      </c>
    </row>
    <row r="379" spans="1:20" ht="15" customHeight="1">
      <c r="A379" s="6" t="s">
        <v>413</v>
      </c>
      <c r="B379" s="7">
        <v>45696</v>
      </c>
      <c r="C379" s="6" t="s">
        <v>21</v>
      </c>
      <c r="D379" s="6" t="s">
        <v>32</v>
      </c>
      <c r="E379" s="6" t="s">
        <v>28</v>
      </c>
      <c r="F379" s="6" t="str">
        <f>IF(E379="","Unknown",E379)</f>
        <v>Mobile</v>
      </c>
      <c r="G379" s="6" t="s">
        <v>43</v>
      </c>
      <c r="H379" s="6" t="str">
        <f>IF(G379="","Unknown",G379)</f>
        <v>Referral</v>
      </c>
      <c r="I379" s="6" t="s">
        <v>25</v>
      </c>
      <c r="J379" s="6">
        <v>1</v>
      </c>
      <c r="K379" s="6">
        <v>1</v>
      </c>
      <c r="L379" s="6">
        <v>1</v>
      </c>
      <c r="M379" s="6">
        <v>0</v>
      </c>
      <c r="N379" s="6">
        <v>0</v>
      </c>
      <c r="O379" s="6">
        <v>0</v>
      </c>
      <c r="P379" s="6">
        <f>IF(O379&gt;0,1,0)</f>
        <v>0</v>
      </c>
      <c r="Q379" s="6">
        <v>0</v>
      </c>
      <c r="S379" s="6">
        <v>91.8</v>
      </c>
      <c r="T379" s="6">
        <f>IF(S379="",MEDIAN($S$2:$S$1409),S379)</f>
        <v>91.8</v>
      </c>
    </row>
    <row r="380" spans="1:20" ht="15" customHeight="1">
      <c r="A380" s="6" t="s">
        <v>414</v>
      </c>
      <c r="B380" s="7">
        <v>45762</v>
      </c>
      <c r="C380" s="6" t="s">
        <v>21</v>
      </c>
      <c r="D380" s="6" t="s">
        <v>27</v>
      </c>
      <c r="E380" s="6" t="s">
        <v>38</v>
      </c>
      <c r="F380" s="6" t="str">
        <f>IF(E380="","Unknown",E380)</f>
        <v>Tablet</v>
      </c>
      <c r="G380" s="6" t="s">
        <v>33</v>
      </c>
      <c r="H380" s="6" t="str">
        <f>IF(G380="","Unknown",G380)</f>
        <v>Paid Search</v>
      </c>
      <c r="I380" s="6" t="s">
        <v>25</v>
      </c>
      <c r="J380" s="6">
        <v>1</v>
      </c>
      <c r="K380" s="6">
        <v>0</v>
      </c>
      <c r="L380" s="6">
        <v>0</v>
      </c>
      <c r="M380" s="6">
        <v>0</v>
      </c>
      <c r="N380" s="6">
        <v>0</v>
      </c>
      <c r="O380" s="6">
        <v>1</v>
      </c>
      <c r="P380" s="6">
        <f>IF(O380&gt;0,1,0)</f>
        <v>1</v>
      </c>
      <c r="Q380" s="6">
        <v>0</v>
      </c>
      <c r="S380" s="6">
        <v>69.3</v>
      </c>
      <c r="T380" s="6">
        <f>IF(S380="",MEDIAN($S$2:$S$1409),S380)</f>
        <v>69.3</v>
      </c>
    </row>
    <row r="381" spans="1:20" ht="15" customHeight="1">
      <c r="A381" s="6" t="s">
        <v>415</v>
      </c>
      <c r="B381" s="7">
        <v>45660</v>
      </c>
      <c r="C381" s="6" t="s">
        <v>21</v>
      </c>
      <c r="D381" s="6" t="s">
        <v>36</v>
      </c>
      <c r="E381" s="6" t="s">
        <v>23</v>
      </c>
      <c r="F381" s="6" t="str">
        <f>IF(E381="","Unknown",E381)</f>
        <v>Desktop</v>
      </c>
      <c r="G381" s="6" t="s">
        <v>33</v>
      </c>
      <c r="H381" s="6" t="str">
        <f>IF(G381="","Unknown",G381)</f>
        <v>Paid Search</v>
      </c>
      <c r="I381" s="6" t="s">
        <v>25</v>
      </c>
      <c r="J381" s="6">
        <v>1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f>IF(O381&gt;0,1,0)</f>
        <v>0</v>
      </c>
      <c r="Q381" s="6">
        <v>0</v>
      </c>
      <c r="S381" s="6">
        <v>58.9</v>
      </c>
      <c r="T381" s="6">
        <f>IF(S381="",MEDIAN($S$2:$S$1409),S381)</f>
        <v>58.9</v>
      </c>
    </row>
    <row r="382" spans="1:20" ht="15" customHeight="1">
      <c r="A382" s="6" t="s">
        <v>416</v>
      </c>
      <c r="B382" s="7">
        <v>45739</v>
      </c>
      <c r="C382" s="6" t="s">
        <v>21</v>
      </c>
      <c r="D382" s="6" t="s">
        <v>27</v>
      </c>
      <c r="E382" s="6" t="s">
        <v>28</v>
      </c>
      <c r="F382" s="6" t="str">
        <f>IF(E382="","Unknown",E382)</f>
        <v>Mobile</v>
      </c>
      <c r="G382" s="6" t="s">
        <v>45</v>
      </c>
      <c r="H382" s="6" t="str">
        <f>IF(G382="","Unknown",G382)</f>
        <v>Social</v>
      </c>
      <c r="I382" s="6" t="s">
        <v>30</v>
      </c>
      <c r="J382" s="6">
        <v>1</v>
      </c>
      <c r="K382" s="6">
        <v>1</v>
      </c>
      <c r="L382" s="6">
        <v>1</v>
      </c>
      <c r="M382" s="6">
        <v>0</v>
      </c>
      <c r="N382" s="6">
        <v>0</v>
      </c>
      <c r="O382" s="6">
        <v>0</v>
      </c>
      <c r="P382" s="6">
        <f>IF(O382&gt;0,1,0)</f>
        <v>0</v>
      </c>
      <c r="Q382" s="6">
        <v>0</v>
      </c>
      <c r="S382" s="6">
        <v>76</v>
      </c>
      <c r="T382" s="6">
        <f>IF(S382="",MEDIAN($S$2:$S$1409),S382)</f>
        <v>76</v>
      </c>
    </row>
    <row r="383" spans="1:20" ht="15" customHeight="1">
      <c r="A383" s="6" t="s">
        <v>417</v>
      </c>
      <c r="B383" s="7">
        <v>45804</v>
      </c>
      <c r="C383" s="6" t="s">
        <v>21</v>
      </c>
      <c r="D383" s="6" t="s">
        <v>36</v>
      </c>
      <c r="E383" s="6" t="s">
        <v>28</v>
      </c>
      <c r="F383" s="6" t="str">
        <f>IF(E383="","Unknown",E383)</f>
        <v>Mobile</v>
      </c>
      <c r="G383" s="6" t="s">
        <v>43</v>
      </c>
      <c r="H383" s="6" t="str">
        <f>IF(G383="","Unknown",G383)</f>
        <v>Referral</v>
      </c>
      <c r="I383" s="6" t="s">
        <v>34</v>
      </c>
      <c r="J383" s="6">
        <v>1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f>IF(O383&gt;0,1,0)</f>
        <v>0</v>
      </c>
      <c r="Q383" s="6">
        <v>0</v>
      </c>
      <c r="S383" s="6">
        <v>46</v>
      </c>
      <c r="T383" s="6">
        <f>IF(S383="",MEDIAN($S$2:$S$1409),S383)</f>
        <v>46</v>
      </c>
    </row>
    <row r="384" spans="1:20" ht="15" customHeight="1">
      <c r="A384" s="6" t="s">
        <v>418</v>
      </c>
      <c r="B384" s="7">
        <v>45777</v>
      </c>
      <c r="C384" s="6" t="s">
        <v>21</v>
      </c>
      <c r="D384" s="6" t="s">
        <v>32</v>
      </c>
      <c r="E384" s="6" t="s">
        <v>28</v>
      </c>
      <c r="F384" s="6" t="str">
        <f>IF(E384="","Unknown",E384)</f>
        <v>Mobile</v>
      </c>
      <c r="G384" s="6" t="s">
        <v>29</v>
      </c>
      <c r="H384" s="6" t="str">
        <f>IF(G384="","Unknown",G384)</f>
        <v>Organic</v>
      </c>
      <c r="I384" s="6" t="s">
        <v>30</v>
      </c>
      <c r="J384" s="6">
        <v>1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f>IF(O384&gt;0,1,0)</f>
        <v>0</v>
      </c>
      <c r="Q384" s="6">
        <v>0</v>
      </c>
      <c r="S384" s="6">
        <v>54.1</v>
      </c>
      <c r="T384" s="6">
        <f>IF(S384="",MEDIAN($S$2:$S$1409),S384)</f>
        <v>54.1</v>
      </c>
    </row>
    <row r="385" spans="1:20" ht="15" customHeight="1">
      <c r="A385" s="6" t="s">
        <v>419</v>
      </c>
      <c r="B385" s="7">
        <v>45723</v>
      </c>
      <c r="C385" s="6" t="s">
        <v>21</v>
      </c>
      <c r="D385" s="6" t="s">
        <v>27</v>
      </c>
      <c r="E385" s="6" t="s">
        <v>28</v>
      </c>
      <c r="F385" s="6" t="str">
        <f>IF(E385="","Unknown",E385)</f>
        <v>Mobile</v>
      </c>
      <c r="G385" s="6" t="s">
        <v>45</v>
      </c>
      <c r="H385" s="6" t="str">
        <f>IF(G385="","Unknown",G385)</f>
        <v>Social</v>
      </c>
      <c r="I385" s="6" t="s">
        <v>25</v>
      </c>
      <c r="J385" s="6">
        <v>1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f>IF(O385&gt;0,1,0)</f>
        <v>0</v>
      </c>
      <c r="Q385" s="6">
        <v>0</v>
      </c>
      <c r="S385" s="6">
        <v>82.4</v>
      </c>
      <c r="T385" s="6">
        <f>IF(S385="",MEDIAN($S$2:$S$1409),S385)</f>
        <v>82.4</v>
      </c>
    </row>
    <row r="386" spans="1:20" ht="15" customHeight="1">
      <c r="A386" s="6" t="s">
        <v>420</v>
      </c>
      <c r="B386" s="7">
        <v>45787</v>
      </c>
      <c r="C386" s="6" t="s">
        <v>21</v>
      </c>
      <c r="D386" s="6" t="s">
        <v>36</v>
      </c>
      <c r="E386" s="6" t="s">
        <v>28</v>
      </c>
      <c r="F386" s="6" t="str">
        <f>IF(E386="","Unknown",E386)</f>
        <v>Mobile</v>
      </c>
      <c r="G386" s="6" t="s">
        <v>29</v>
      </c>
      <c r="H386" s="6" t="str">
        <f>IF(G386="","Unknown",G386)</f>
        <v>Organic</v>
      </c>
      <c r="I386" s="6" t="s">
        <v>25</v>
      </c>
      <c r="J386" s="6">
        <v>1</v>
      </c>
      <c r="K386" s="6">
        <v>1</v>
      </c>
      <c r="L386" s="6">
        <v>1</v>
      </c>
      <c r="M386" s="6">
        <v>0</v>
      </c>
      <c r="N386" s="6">
        <v>0</v>
      </c>
      <c r="O386" s="6">
        <v>0</v>
      </c>
      <c r="P386" s="6">
        <f>IF(O386&gt;0,1,0)</f>
        <v>0</v>
      </c>
      <c r="Q386" s="6">
        <v>0</v>
      </c>
      <c r="S386" s="6">
        <v>71.900000000000006</v>
      </c>
      <c r="T386" s="6">
        <f>IF(S386="",MEDIAN($S$2:$S$1409),S386)</f>
        <v>71.900000000000006</v>
      </c>
    </row>
    <row r="387" spans="1:20" ht="15" customHeight="1">
      <c r="A387" s="6" t="s">
        <v>421</v>
      </c>
      <c r="B387" s="7">
        <v>45799</v>
      </c>
      <c r="C387" s="6" t="s">
        <v>21</v>
      </c>
      <c r="D387" s="6" t="s">
        <v>32</v>
      </c>
      <c r="E387" s="6" t="s">
        <v>28</v>
      </c>
      <c r="F387" s="6" t="str">
        <f>IF(E387="","Unknown",E387)</f>
        <v>Mobile</v>
      </c>
      <c r="G387" s="6" t="s">
        <v>29</v>
      </c>
      <c r="H387" s="6" t="str">
        <f>IF(G387="","Unknown",G387)</f>
        <v>Organic</v>
      </c>
      <c r="I387" s="6" t="s">
        <v>30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2</v>
      </c>
      <c r="P387" s="6">
        <f>IF(O387&gt;0,1,0)</f>
        <v>1</v>
      </c>
      <c r="Q387" s="6">
        <v>0</v>
      </c>
      <c r="S387" s="6">
        <v>38</v>
      </c>
      <c r="T387" s="6">
        <f>IF(S387="",MEDIAN($S$2:$S$1409),S387)</f>
        <v>38</v>
      </c>
    </row>
    <row r="388" spans="1:20" ht="15" customHeight="1">
      <c r="A388" s="6" t="s">
        <v>422</v>
      </c>
      <c r="B388" s="7">
        <v>45697</v>
      </c>
      <c r="C388" s="6" t="s">
        <v>21</v>
      </c>
      <c r="D388" s="6" t="s">
        <v>32</v>
      </c>
      <c r="E388" s="6" t="s">
        <v>28</v>
      </c>
      <c r="F388" s="6" t="str">
        <f>IF(E388="","Unknown",E388)</f>
        <v>Mobile</v>
      </c>
      <c r="G388" s="6" t="s">
        <v>33</v>
      </c>
      <c r="H388" s="6" t="str">
        <f>IF(G388="","Unknown",G388)</f>
        <v>Paid Search</v>
      </c>
      <c r="I388" s="6" t="s">
        <v>30</v>
      </c>
      <c r="J388" s="6">
        <v>1</v>
      </c>
      <c r="K388" s="6">
        <v>1</v>
      </c>
      <c r="L388" s="6">
        <v>0</v>
      </c>
      <c r="M388" s="6">
        <v>0</v>
      </c>
      <c r="N388" s="6">
        <v>0</v>
      </c>
      <c r="O388" s="6">
        <v>0</v>
      </c>
      <c r="P388" s="6">
        <f>IF(O388&gt;0,1,0)</f>
        <v>0</v>
      </c>
      <c r="Q388" s="6">
        <v>0</v>
      </c>
      <c r="S388" s="6">
        <v>43.7</v>
      </c>
      <c r="T388" s="6">
        <f>IF(S388="",MEDIAN($S$2:$S$1409),S388)</f>
        <v>43.7</v>
      </c>
    </row>
    <row r="389" spans="1:20" ht="15" customHeight="1">
      <c r="A389" s="6" t="s">
        <v>423</v>
      </c>
      <c r="B389" s="7">
        <v>45807</v>
      </c>
      <c r="C389" s="6" t="s">
        <v>21</v>
      </c>
      <c r="D389" s="6" t="s">
        <v>27</v>
      </c>
      <c r="E389" s="6" t="s">
        <v>23</v>
      </c>
      <c r="F389" s="6" t="str">
        <f>IF(E389="","Unknown",E389)</f>
        <v>Desktop</v>
      </c>
      <c r="G389" s="6" t="s">
        <v>29</v>
      </c>
      <c r="H389" s="6" t="str">
        <f>IF(G389="","Unknown",G389)</f>
        <v>Organic</v>
      </c>
      <c r="I389" s="6" t="s">
        <v>34</v>
      </c>
      <c r="J389" s="6">
        <v>1</v>
      </c>
      <c r="K389" s="6">
        <v>0</v>
      </c>
      <c r="L389" s="6">
        <v>0</v>
      </c>
      <c r="M389" s="6">
        <v>0</v>
      </c>
      <c r="N389" s="6">
        <v>0</v>
      </c>
      <c r="O389" s="6">
        <v>1</v>
      </c>
      <c r="P389" s="6">
        <f>IF(O389&gt;0,1,0)</f>
        <v>1</v>
      </c>
      <c r="Q389" s="6">
        <v>0</v>
      </c>
      <c r="S389" s="6">
        <v>32.200000000000003</v>
      </c>
      <c r="T389" s="6">
        <f>IF(S389="",MEDIAN($S$2:$S$1409),S389)</f>
        <v>32.200000000000003</v>
      </c>
    </row>
    <row r="390" spans="1:20" ht="15" customHeight="1">
      <c r="A390" s="6" t="s">
        <v>424</v>
      </c>
      <c r="B390" s="7">
        <v>45778</v>
      </c>
      <c r="C390" s="6" t="s">
        <v>21</v>
      </c>
      <c r="D390" s="6" t="s">
        <v>36</v>
      </c>
      <c r="E390" s="6" t="s">
        <v>28</v>
      </c>
      <c r="F390" s="6" t="str">
        <f>IF(E390="","Unknown",E390)</f>
        <v>Mobile</v>
      </c>
      <c r="G390" s="6" t="s">
        <v>29</v>
      </c>
      <c r="H390" s="6" t="str">
        <f>IF(G390="","Unknown",G390)</f>
        <v>Organic</v>
      </c>
      <c r="I390" s="6" t="s">
        <v>34</v>
      </c>
      <c r="J390" s="6">
        <v>1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f>IF(O390&gt;0,1,0)</f>
        <v>0</v>
      </c>
      <c r="Q390" s="6">
        <v>0</v>
      </c>
      <c r="S390" s="6">
        <v>61</v>
      </c>
      <c r="T390" s="6">
        <f>IF(S390="",MEDIAN($S$2:$S$1409),S390)</f>
        <v>61</v>
      </c>
    </row>
    <row r="391" spans="1:20" ht="15" customHeight="1">
      <c r="A391" s="6" t="s">
        <v>425</v>
      </c>
      <c r="B391" s="7">
        <v>45660</v>
      </c>
      <c r="C391" s="6" t="s">
        <v>21</v>
      </c>
      <c r="D391" s="6" t="s">
        <v>36</v>
      </c>
      <c r="E391" s="6" t="s">
        <v>28</v>
      </c>
      <c r="F391" s="6" t="str">
        <f>IF(E391="","Unknown",E391)</f>
        <v>Mobile</v>
      </c>
      <c r="G391" s="6" t="s">
        <v>33</v>
      </c>
      <c r="H391" s="6" t="str">
        <f>IF(G391="","Unknown",G391)</f>
        <v>Paid Search</v>
      </c>
      <c r="I391" s="6" t="s">
        <v>30</v>
      </c>
      <c r="J391" s="6">
        <v>1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f>IF(O391&gt;0,1,0)</f>
        <v>0</v>
      </c>
      <c r="Q391" s="6">
        <v>0</v>
      </c>
      <c r="S391" s="6">
        <v>49</v>
      </c>
      <c r="T391" s="6">
        <f>IF(S391="",MEDIAN($S$2:$S$1409),S391)</f>
        <v>49</v>
      </c>
    </row>
    <row r="392" spans="1:20" ht="15" customHeight="1">
      <c r="A392" s="6" t="s">
        <v>426</v>
      </c>
      <c r="B392" s="7">
        <v>45701</v>
      </c>
      <c r="C392" s="6" t="s">
        <v>21</v>
      </c>
      <c r="D392" s="6" t="s">
        <v>32</v>
      </c>
      <c r="E392" s="6" t="s">
        <v>28</v>
      </c>
      <c r="F392" s="6" t="str">
        <f>IF(E392="","Unknown",E392)</f>
        <v>Mobile</v>
      </c>
      <c r="G392" s="6" t="s">
        <v>29</v>
      </c>
      <c r="H392" s="6" t="str">
        <f>IF(G392="","Unknown",G392)</f>
        <v>Organic</v>
      </c>
      <c r="I392" s="6" t="s">
        <v>30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f>IF(O392&gt;0,1,0)</f>
        <v>0</v>
      </c>
      <c r="Q392" s="6">
        <v>0</v>
      </c>
      <c r="S392" s="6">
        <v>48.1</v>
      </c>
      <c r="T392" s="6">
        <f>IF(S392="",MEDIAN($S$2:$S$1409),S392)</f>
        <v>48.1</v>
      </c>
    </row>
    <row r="393" spans="1:20" ht="15" customHeight="1">
      <c r="A393" s="6" t="s">
        <v>427</v>
      </c>
      <c r="B393" s="7">
        <v>45671</v>
      </c>
      <c r="C393" s="6" t="s">
        <v>21</v>
      </c>
      <c r="D393" s="6" t="s">
        <v>36</v>
      </c>
      <c r="E393" s="6" t="s">
        <v>23</v>
      </c>
      <c r="F393" s="6" t="str">
        <f>IF(E393="","Unknown",E393)</f>
        <v>Desktop</v>
      </c>
      <c r="G393" s="6" t="s">
        <v>29</v>
      </c>
      <c r="H393" s="6" t="str">
        <f>IF(G393="","Unknown",G393)</f>
        <v>Organic</v>
      </c>
      <c r="I393" s="6" t="s">
        <v>30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2</v>
      </c>
      <c r="P393" s="6">
        <f>IF(O393&gt;0,1,0)</f>
        <v>1</v>
      </c>
      <c r="Q393" s="6">
        <v>0</v>
      </c>
      <c r="S393" s="6">
        <v>46.3</v>
      </c>
      <c r="T393" s="6">
        <f>IF(S393="",MEDIAN($S$2:$S$1409),S393)</f>
        <v>46.3</v>
      </c>
    </row>
    <row r="394" spans="1:20" ht="15" customHeight="1">
      <c r="A394" s="6" t="s">
        <v>428</v>
      </c>
      <c r="B394" s="7">
        <v>45712</v>
      </c>
      <c r="C394" s="6" t="s">
        <v>21</v>
      </c>
      <c r="D394" s="6" t="s">
        <v>22</v>
      </c>
      <c r="E394" s="6" t="s">
        <v>28</v>
      </c>
      <c r="F394" s="6" t="str">
        <f>IF(E394="","Unknown",E394)</f>
        <v>Mobile</v>
      </c>
      <c r="G394" s="6" t="s">
        <v>43</v>
      </c>
      <c r="H394" s="6" t="str">
        <f>IF(G394="","Unknown",G394)</f>
        <v>Referral</v>
      </c>
      <c r="I394" s="6" t="s">
        <v>30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f>IF(O394&gt;0,1,0)</f>
        <v>0</v>
      </c>
      <c r="Q394" s="6">
        <v>0</v>
      </c>
      <c r="S394" s="6">
        <v>64</v>
      </c>
      <c r="T394" s="6">
        <f>IF(S394="",MEDIAN($S$2:$S$1409),S394)</f>
        <v>64</v>
      </c>
    </row>
    <row r="395" spans="1:20" ht="15" customHeight="1">
      <c r="A395" s="6" t="s">
        <v>429</v>
      </c>
      <c r="B395" s="7">
        <v>45793</v>
      </c>
      <c r="C395" s="6" t="s">
        <v>21</v>
      </c>
      <c r="D395" s="6" t="s">
        <v>27</v>
      </c>
      <c r="E395" s="6" t="s">
        <v>23</v>
      </c>
      <c r="F395" s="6" t="str">
        <f>IF(E395="","Unknown",E395)</f>
        <v>Desktop</v>
      </c>
      <c r="G395" s="6" t="s">
        <v>29</v>
      </c>
      <c r="H395" s="6" t="str">
        <f>IF(G395="","Unknown",G395)</f>
        <v>Organic</v>
      </c>
      <c r="I395" s="6" t="s">
        <v>25</v>
      </c>
      <c r="J395" s="6">
        <v>1</v>
      </c>
      <c r="K395" s="6">
        <v>1</v>
      </c>
      <c r="L395" s="6">
        <v>0</v>
      </c>
      <c r="M395" s="6">
        <v>0</v>
      </c>
      <c r="N395" s="6">
        <v>0</v>
      </c>
      <c r="O395" s="6">
        <v>0</v>
      </c>
      <c r="P395" s="6">
        <f>IF(O395&gt;0,1,0)</f>
        <v>0</v>
      </c>
      <c r="Q395" s="6">
        <v>0</v>
      </c>
      <c r="S395" s="6">
        <v>56.2</v>
      </c>
      <c r="T395" s="6">
        <f>IF(S395="",MEDIAN($S$2:$S$1409),S395)</f>
        <v>56.2</v>
      </c>
    </row>
    <row r="396" spans="1:20" ht="15" customHeight="1">
      <c r="A396" s="6" t="s">
        <v>430</v>
      </c>
      <c r="B396" s="7">
        <v>45776</v>
      </c>
      <c r="C396" s="6" t="s">
        <v>21</v>
      </c>
      <c r="D396" s="6" t="s">
        <v>22</v>
      </c>
      <c r="E396" s="6" t="s">
        <v>28</v>
      </c>
      <c r="F396" s="6" t="str">
        <f>IF(E396="","Unknown",E396)</f>
        <v>Mobile</v>
      </c>
      <c r="G396" s="6" t="s">
        <v>33</v>
      </c>
      <c r="H396" s="6" t="str">
        <f>IF(G396="","Unknown",G396)</f>
        <v>Paid Search</v>
      </c>
      <c r="I396" s="6" t="s">
        <v>30</v>
      </c>
      <c r="J396" s="6">
        <v>1</v>
      </c>
      <c r="K396" s="6">
        <v>1</v>
      </c>
      <c r="L396" s="6">
        <v>1</v>
      </c>
      <c r="M396" s="6">
        <v>0</v>
      </c>
      <c r="N396" s="6">
        <v>0</v>
      </c>
      <c r="O396" s="6">
        <v>0</v>
      </c>
      <c r="P396" s="6">
        <f>IF(O396&gt;0,1,0)</f>
        <v>0</v>
      </c>
      <c r="Q396" s="6">
        <v>0</v>
      </c>
      <c r="S396" s="6">
        <v>77.5</v>
      </c>
      <c r="T396" s="6">
        <f>IF(S396="",MEDIAN($S$2:$S$1409),S396)</f>
        <v>77.5</v>
      </c>
    </row>
    <row r="397" spans="1:20" ht="15" customHeight="1">
      <c r="A397" s="6" t="s">
        <v>431</v>
      </c>
      <c r="B397" s="7">
        <v>45777</v>
      </c>
      <c r="C397" s="6" t="s">
        <v>21</v>
      </c>
      <c r="D397" s="6" t="s">
        <v>36</v>
      </c>
      <c r="E397" s="6" t="s">
        <v>23</v>
      </c>
      <c r="F397" s="6" t="str">
        <f>IF(E397="","Unknown",E397)</f>
        <v>Desktop</v>
      </c>
      <c r="G397" s="6" t="s">
        <v>24</v>
      </c>
      <c r="H397" s="6" t="str">
        <f>IF(G397="","Unknown",G397)</f>
        <v>Email</v>
      </c>
      <c r="I397" s="6" t="s">
        <v>25</v>
      </c>
      <c r="J397" s="6">
        <v>1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f>IF(O397&gt;0,1,0)</f>
        <v>0</v>
      </c>
      <c r="Q397" s="6">
        <v>0</v>
      </c>
      <c r="S397" s="6">
        <v>59.9</v>
      </c>
      <c r="T397" s="6">
        <f>IF(S397="",MEDIAN($S$2:$S$1409),S397)</f>
        <v>59.9</v>
      </c>
    </row>
    <row r="398" spans="1:20" ht="15" customHeight="1">
      <c r="A398" s="6" t="s">
        <v>432</v>
      </c>
      <c r="B398" s="7">
        <v>45666</v>
      </c>
      <c r="C398" s="6" t="s">
        <v>21</v>
      </c>
      <c r="D398" s="6" t="s">
        <v>36</v>
      </c>
      <c r="E398" s="6" t="s">
        <v>23</v>
      </c>
      <c r="F398" s="6" t="str">
        <f>IF(E398="","Unknown",E398)</f>
        <v>Desktop</v>
      </c>
      <c r="G398" s="6" t="s">
        <v>29</v>
      </c>
      <c r="H398" s="6" t="str">
        <f>IF(G398="","Unknown",G398)</f>
        <v>Organic</v>
      </c>
      <c r="I398" s="6" t="s">
        <v>30</v>
      </c>
      <c r="J398" s="6">
        <v>1</v>
      </c>
      <c r="K398" s="6">
        <v>1</v>
      </c>
      <c r="L398" s="6">
        <v>0</v>
      </c>
      <c r="M398" s="6">
        <v>0</v>
      </c>
      <c r="N398" s="6">
        <v>0</v>
      </c>
      <c r="O398" s="6">
        <v>0</v>
      </c>
      <c r="P398" s="6">
        <f>IF(O398&gt;0,1,0)</f>
        <v>0</v>
      </c>
      <c r="Q398" s="6">
        <v>0</v>
      </c>
      <c r="S398" s="6">
        <v>63</v>
      </c>
      <c r="T398" s="6">
        <f>IF(S398="",MEDIAN($S$2:$S$1409),S398)</f>
        <v>63</v>
      </c>
    </row>
    <row r="399" spans="1:20" ht="15" customHeight="1">
      <c r="A399" s="6" t="s">
        <v>433</v>
      </c>
      <c r="B399" s="7">
        <v>45772</v>
      </c>
      <c r="C399" s="6" t="s">
        <v>21</v>
      </c>
      <c r="D399" s="6" t="s">
        <v>36</v>
      </c>
      <c r="E399" s="6" t="s">
        <v>28</v>
      </c>
      <c r="F399" s="6" t="str">
        <f>IF(E399="","Unknown",E399)</f>
        <v>Mobile</v>
      </c>
      <c r="G399" s="6" t="s">
        <v>29</v>
      </c>
      <c r="H399" s="6" t="str">
        <f>IF(G399="","Unknown",G399)</f>
        <v>Organic</v>
      </c>
      <c r="I399" s="6" t="s">
        <v>30</v>
      </c>
      <c r="J399" s="6">
        <v>1</v>
      </c>
      <c r="K399" s="6">
        <v>1</v>
      </c>
      <c r="L399" s="6">
        <v>0</v>
      </c>
      <c r="M399" s="6">
        <v>0</v>
      </c>
      <c r="N399" s="6">
        <v>0</v>
      </c>
      <c r="O399" s="6">
        <v>0</v>
      </c>
      <c r="P399" s="6">
        <f>IF(O399&gt;0,1,0)</f>
        <v>0</v>
      </c>
      <c r="Q399" s="6">
        <v>0</v>
      </c>
      <c r="S399" s="6">
        <v>76.5</v>
      </c>
      <c r="T399" s="6">
        <f>IF(S399="",MEDIAN($S$2:$S$1409),S399)</f>
        <v>76.5</v>
      </c>
    </row>
    <row r="400" spans="1:20" ht="15" customHeight="1">
      <c r="A400" s="6" t="s">
        <v>434</v>
      </c>
      <c r="B400" s="7">
        <v>45728</v>
      </c>
      <c r="C400" s="6" t="s">
        <v>21</v>
      </c>
      <c r="D400" s="6" t="s">
        <v>22</v>
      </c>
      <c r="E400" s="6" t="s">
        <v>23</v>
      </c>
      <c r="F400" s="6" t="str">
        <f>IF(E400="","Unknown",E400)</f>
        <v>Desktop</v>
      </c>
      <c r="G400" s="6" t="s">
        <v>33</v>
      </c>
      <c r="H400" s="6" t="str">
        <f>IF(G400="","Unknown",G400)</f>
        <v>Paid Search</v>
      </c>
      <c r="I400" s="6" t="s">
        <v>30</v>
      </c>
      <c r="J400" s="6">
        <v>1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f>IF(O400&gt;0,1,0)</f>
        <v>0</v>
      </c>
      <c r="Q400" s="6">
        <v>0</v>
      </c>
      <c r="S400" s="6">
        <v>39.700000000000003</v>
      </c>
      <c r="T400" s="6">
        <f>IF(S400="",MEDIAN($S$2:$S$1409),S400)</f>
        <v>39.700000000000003</v>
      </c>
    </row>
    <row r="401" spans="1:20" ht="15" customHeight="1">
      <c r="A401" s="6" t="s">
        <v>435</v>
      </c>
      <c r="B401" s="7">
        <v>45736</v>
      </c>
      <c r="C401" s="6" t="s">
        <v>21</v>
      </c>
      <c r="D401" s="6" t="s">
        <v>22</v>
      </c>
      <c r="E401" s="6" t="s">
        <v>28</v>
      </c>
      <c r="F401" s="6" t="str">
        <f>IF(E401="","Unknown",E401)</f>
        <v>Mobile</v>
      </c>
      <c r="G401" s="6" t="s">
        <v>29</v>
      </c>
      <c r="H401" s="6" t="str">
        <f>IF(G401="","Unknown",G401)</f>
        <v>Organic</v>
      </c>
      <c r="I401" s="6" t="s">
        <v>30</v>
      </c>
      <c r="J401" s="6">
        <v>1</v>
      </c>
      <c r="K401" s="6">
        <v>1</v>
      </c>
      <c r="L401" s="6">
        <v>0</v>
      </c>
      <c r="M401" s="6">
        <v>0</v>
      </c>
      <c r="N401" s="6">
        <v>0</v>
      </c>
      <c r="O401" s="6">
        <v>0</v>
      </c>
      <c r="P401" s="6">
        <f>IF(O401&gt;0,1,0)</f>
        <v>0</v>
      </c>
      <c r="Q401" s="6">
        <v>0</v>
      </c>
      <c r="S401" s="6">
        <v>80.2</v>
      </c>
      <c r="T401" s="6">
        <f>IF(S401="",MEDIAN($S$2:$S$1409),S401)</f>
        <v>80.2</v>
      </c>
    </row>
    <row r="402" spans="1:20" ht="15" customHeight="1">
      <c r="A402" s="6" t="s">
        <v>436</v>
      </c>
      <c r="B402" s="7">
        <v>45706</v>
      </c>
      <c r="C402" s="6" t="s">
        <v>21</v>
      </c>
      <c r="D402" s="6" t="s">
        <v>27</v>
      </c>
      <c r="E402" s="6" t="s">
        <v>28</v>
      </c>
      <c r="F402" s="6" t="str">
        <f>IF(E402="","Unknown",E402)</f>
        <v>Mobile</v>
      </c>
      <c r="G402" s="6" t="s">
        <v>33</v>
      </c>
      <c r="H402" s="6" t="str">
        <f>IF(G402="","Unknown",G402)</f>
        <v>Paid Search</v>
      </c>
      <c r="I402" s="6" t="s">
        <v>30</v>
      </c>
      <c r="J402" s="6">
        <v>1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f>IF(O402&gt;0,1,0)</f>
        <v>0</v>
      </c>
      <c r="Q402" s="6">
        <v>0</v>
      </c>
      <c r="S402" s="6">
        <v>72.2</v>
      </c>
      <c r="T402" s="6">
        <f>IF(S402="",MEDIAN($S$2:$S$1409),S402)</f>
        <v>72.2</v>
      </c>
    </row>
    <row r="403" spans="1:20" ht="15" customHeight="1">
      <c r="A403" s="6" t="s">
        <v>437</v>
      </c>
      <c r="B403" s="7">
        <v>45679</v>
      </c>
      <c r="C403" s="6" t="s">
        <v>21</v>
      </c>
      <c r="D403" s="6" t="s">
        <v>22</v>
      </c>
      <c r="E403" s="6" t="s">
        <v>28</v>
      </c>
      <c r="F403" s="6" t="str">
        <f>IF(E403="","Unknown",E403)</f>
        <v>Mobile</v>
      </c>
      <c r="G403" s="6" t="s">
        <v>45</v>
      </c>
      <c r="H403" s="6" t="str">
        <f>IF(G403="","Unknown",G403)</f>
        <v>Social</v>
      </c>
      <c r="I403" s="6" t="s">
        <v>25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f>IF(O403&gt;0,1,0)</f>
        <v>0</v>
      </c>
      <c r="Q403" s="6">
        <v>0</v>
      </c>
      <c r="S403" s="6">
        <v>56</v>
      </c>
      <c r="T403" s="6">
        <f>IF(S403="",MEDIAN($S$2:$S$1409),S403)</f>
        <v>56</v>
      </c>
    </row>
    <row r="404" spans="1:20" ht="15" customHeight="1">
      <c r="A404" s="6" t="s">
        <v>438</v>
      </c>
      <c r="B404" s="7">
        <v>45696</v>
      </c>
      <c r="C404" s="6" t="s">
        <v>21</v>
      </c>
      <c r="D404" s="6" t="s">
        <v>27</v>
      </c>
      <c r="E404" s="6" t="s">
        <v>28</v>
      </c>
      <c r="F404" s="6" t="str">
        <f>IF(E404="","Unknown",E404)</f>
        <v>Mobile</v>
      </c>
      <c r="G404" s="6" t="s">
        <v>24</v>
      </c>
      <c r="H404" s="6" t="str">
        <f>IF(G404="","Unknown",G404)</f>
        <v>Email</v>
      </c>
      <c r="I404" s="6" t="s">
        <v>25</v>
      </c>
      <c r="J404" s="6">
        <v>1</v>
      </c>
      <c r="K404" s="6">
        <v>1</v>
      </c>
      <c r="L404" s="6">
        <v>1</v>
      </c>
      <c r="M404" s="6">
        <v>0</v>
      </c>
      <c r="N404" s="6">
        <v>0</v>
      </c>
      <c r="O404" s="6">
        <v>0</v>
      </c>
      <c r="P404" s="6">
        <f>IF(O404&gt;0,1,0)</f>
        <v>0</v>
      </c>
      <c r="Q404" s="6">
        <v>0</v>
      </c>
      <c r="S404" s="6">
        <v>69.099999999999994</v>
      </c>
      <c r="T404" s="6">
        <f>IF(S404="",MEDIAN($S$2:$S$1409),S404)</f>
        <v>69.099999999999994</v>
      </c>
    </row>
    <row r="405" spans="1:20" ht="15" customHeight="1">
      <c r="A405" s="6" t="s">
        <v>439</v>
      </c>
      <c r="B405" s="7">
        <v>45677</v>
      </c>
      <c r="C405" s="6" t="s">
        <v>21</v>
      </c>
      <c r="D405" s="6" t="s">
        <v>22</v>
      </c>
      <c r="E405" s="6" t="s">
        <v>28</v>
      </c>
      <c r="F405" s="6" t="str">
        <f>IF(E405="","Unknown",E405)</f>
        <v>Mobile</v>
      </c>
      <c r="G405" s="6" t="s">
        <v>24</v>
      </c>
      <c r="H405" s="6" t="str">
        <f>IF(G405="","Unknown",G405)</f>
        <v>Email</v>
      </c>
      <c r="I405" s="6" t="s">
        <v>34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1</v>
      </c>
      <c r="P405" s="6">
        <f>IF(O405&gt;0,1,0)</f>
        <v>1</v>
      </c>
      <c r="Q405" s="6">
        <v>0</v>
      </c>
      <c r="S405" s="6">
        <v>70.599999999999994</v>
      </c>
      <c r="T405" s="6">
        <f>IF(S405="",MEDIAN($S$2:$S$1409),S405)</f>
        <v>70.599999999999994</v>
      </c>
    </row>
    <row r="406" spans="1:20" ht="15" customHeight="1">
      <c r="A406" s="6" t="s">
        <v>440</v>
      </c>
      <c r="B406" s="7">
        <v>45769</v>
      </c>
      <c r="C406" s="6" t="s">
        <v>21</v>
      </c>
      <c r="D406" s="6" t="s">
        <v>27</v>
      </c>
      <c r="E406" s="6" t="s">
        <v>23</v>
      </c>
      <c r="F406" s="6" t="str">
        <f>IF(E406="","Unknown",E406)</f>
        <v>Desktop</v>
      </c>
      <c r="G406" s="6" t="s">
        <v>43</v>
      </c>
      <c r="H406" s="6" t="str">
        <f>IF(G406="","Unknown",G406)</f>
        <v>Referral</v>
      </c>
      <c r="I406" s="6" t="s">
        <v>30</v>
      </c>
      <c r="J406" s="6">
        <v>1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f>IF(O406&gt;0,1,0)</f>
        <v>0</v>
      </c>
      <c r="Q406" s="6">
        <v>0</v>
      </c>
      <c r="S406" s="6">
        <v>57.9</v>
      </c>
      <c r="T406" s="6">
        <f>IF(S406="",MEDIAN($S$2:$S$1409),S406)</f>
        <v>57.9</v>
      </c>
    </row>
    <row r="407" spans="1:20" ht="15" customHeight="1">
      <c r="A407" s="6" t="s">
        <v>441</v>
      </c>
      <c r="B407" s="7">
        <v>45679</v>
      </c>
      <c r="C407" s="6" t="s">
        <v>21</v>
      </c>
      <c r="D407" s="6" t="s">
        <v>32</v>
      </c>
      <c r="E407" s="6" t="s">
        <v>28</v>
      </c>
      <c r="F407" s="6" t="str">
        <f>IF(E407="","Unknown",E407)</f>
        <v>Mobile</v>
      </c>
      <c r="G407" s="6" t="s">
        <v>29</v>
      </c>
      <c r="H407" s="6" t="str">
        <f>IF(G407="","Unknown",G407)</f>
        <v>Organic</v>
      </c>
      <c r="I407" s="6" t="s">
        <v>25</v>
      </c>
      <c r="J407" s="6">
        <v>1</v>
      </c>
      <c r="K407" s="6">
        <v>1</v>
      </c>
      <c r="L407" s="6">
        <v>0</v>
      </c>
      <c r="M407" s="6">
        <v>0</v>
      </c>
      <c r="N407" s="6">
        <v>0</v>
      </c>
      <c r="O407" s="6">
        <v>0</v>
      </c>
      <c r="P407" s="6">
        <f>IF(O407&gt;0,1,0)</f>
        <v>0</v>
      </c>
      <c r="Q407" s="6">
        <v>0</v>
      </c>
      <c r="S407" s="6">
        <v>41.4</v>
      </c>
      <c r="T407" s="6">
        <f>IF(S407="",MEDIAN($S$2:$S$1409),S407)</f>
        <v>41.4</v>
      </c>
    </row>
    <row r="408" spans="1:20" ht="15" customHeight="1">
      <c r="A408" s="6" t="s">
        <v>442</v>
      </c>
      <c r="B408" s="7">
        <v>45788</v>
      </c>
      <c r="C408" s="6" t="s">
        <v>21</v>
      </c>
      <c r="D408" s="6" t="s">
        <v>27</v>
      </c>
      <c r="E408" s="6" t="s">
        <v>28</v>
      </c>
      <c r="F408" s="6" t="str">
        <f>IF(E408="","Unknown",E408)</f>
        <v>Mobile</v>
      </c>
      <c r="G408" s="6" t="s">
        <v>29</v>
      </c>
      <c r="H408" s="6" t="str">
        <f>IF(G408="","Unknown",G408)</f>
        <v>Organic</v>
      </c>
      <c r="I408" s="6" t="s">
        <v>25</v>
      </c>
      <c r="J408" s="6">
        <v>1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f>IF(O408&gt;0,1,0)</f>
        <v>0</v>
      </c>
      <c r="Q408" s="6">
        <v>0</v>
      </c>
      <c r="S408" s="6">
        <v>60.9</v>
      </c>
      <c r="T408" s="6">
        <f>IF(S408="",MEDIAN($S$2:$S$1409),S408)</f>
        <v>60.9</v>
      </c>
    </row>
    <row r="409" spans="1:20" ht="15" customHeight="1">
      <c r="A409" s="6" t="s">
        <v>443</v>
      </c>
      <c r="B409" s="7">
        <v>45694</v>
      </c>
      <c r="C409" s="6" t="s">
        <v>21</v>
      </c>
      <c r="D409" s="6" t="s">
        <v>36</v>
      </c>
      <c r="E409" s="6" t="s">
        <v>28</v>
      </c>
      <c r="F409" s="6" t="str">
        <f>IF(E409="","Unknown",E409)</f>
        <v>Mobile</v>
      </c>
      <c r="G409" s="6" t="s">
        <v>29</v>
      </c>
      <c r="H409" s="6" t="str">
        <f>IF(G409="","Unknown",G409)</f>
        <v>Organic</v>
      </c>
      <c r="I409" s="6" t="s">
        <v>25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1</v>
      </c>
      <c r="P409" s="6">
        <f>IF(O409&gt;0,1,0)</f>
        <v>1</v>
      </c>
      <c r="Q409" s="6">
        <v>0</v>
      </c>
      <c r="S409" s="6">
        <v>63.8</v>
      </c>
      <c r="T409" s="6">
        <f>IF(S409="",MEDIAN($S$2:$S$1409),S409)</f>
        <v>63.8</v>
      </c>
    </row>
    <row r="410" spans="1:20" ht="15" customHeight="1">
      <c r="A410" s="6" t="s">
        <v>444</v>
      </c>
      <c r="B410" s="7">
        <v>45709</v>
      </c>
      <c r="C410" s="6" t="s">
        <v>21</v>
      </c>
      <c r="D410" s="6" t="s">
        <v>22</v>
      </c>
      <c r="E410" s="6" t="s">
        <v>23</v>
      </c>
      <c r="F410" s="6" t="str">
        <f>IF(E410="","Unknown",E410)</f>
        <v>Desktop</v>
      </c>
      <c r="G410" s="6" t="s">
        <v>29</v>
      </c>
      <c r="H410" s="6" t="str">
        <f>IF(G410="","Unknown",G410)</f>
        <v>Organic</v>
      </c>
      <c r="I410" s="6" t="s">
        <v>34</v>
      </c>
      <c r="J410" s="6">
        <v>1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f>IF(O410&gt;0,1,0)</f>
        <v>0</v>
      </c>
      <c r="Q410" s="6">
        <v>0</v>
      </c>
      <c r="S410" s="6">
        <v>79.2</v>
      </c>
      <c r="T410" s="6">
        <f>IF(S410="",MEDIAN($S$2:$S$1409),S410)</f>
        <v>79.2</v>
      </c>
    </row>
    <row r="411" spans="1:20" ht="15" customHeight="1">
      <c r="A411" s="6" t="s">
        <v>445</v>
      </c>
      <c r="B411" s="7">
        <v>45670</v>
      </c>
      <c r="C411" s="6" t="s">
        <v>21</v>
      </c>
      <c r="D411" s="6" t="s">
        <v>27</v>
      </c>
      <c r="E411" s="6" t="s">
        <v>28</v>
      </c>
      <c r="F411" s="6" t="str">
        <f>IF(E411="","Unknown",E411)</f>
        <v>Mobile</v>
      </c>
      <c r="G411" s="6" t="s">
        <v>24</v>
      </c>
      <c r="H411" s="6" t="str">
        <f>IF(G411="","Unknown",G411)</f>
        <v>Email</v>
      </c>
      <c r="I411" s="6" t="s">
        <v>34</v>
      </c>
      <c r="J411" s="6">
        <v>1</v>
      </c>
      <c r="K411" s="6">
        <v>1</v>
      </c>
      <c r="L411" s="6">
        <v>1</v>
      </c>
      <c r="M411" s="6">
        <v>0</v>
      </c>
      <c r="N411" s="6">
        <v>0</v>
      </c>
      <c r="O411" s="6">
        <v>0</v>
      </c>
      <c r="P411" s="6">
        <f>IF(O411&gt;0,1,0)</f>
        <v>0</v>
      </c>
      <c r="Q411" s="6">
        <v>0</v>
      </c>
      <c r="S411" s="6">
        <v>53.3</v>
      </c>
      <c r="T411" s="6">
        <f>IF(S411="",MEDIAN($S$2:$S$1409),S411)</f>
        <v>53.3</v>
      </c>
    </row>
    <row r="412" spans="1:20" ht="15" customHeight="1">
      <c r="A412" s="6" t="s">
        <v>446</v>
      </c>
      <c r="B412" s="7">
        <v>45723</v>
      </c>
      <c r="C412" s="6" t="s">
        <v>21</v>
      </c>
      <c r="D412" s="6" t="s">
        <v>22</v>
      </c>
      <c r="E412" s="6" t="s">
        <v>28</v>
      </c>
      <c r="F412" s="6" t="str">
        <f>IF(E412="","Unknown",E412)</f>
        <v>Mobile</v>
      </c>
      <c r="G412" s="6" t="s">
        <v>43</v>
      </c>
      <c r="H412" s="6" t="str">
        <f>IF(G412="","Unknown",G412)</f>
        <v>Referral</v>
      </c>
      <c r="I412" s="6" t="s">
        <v>34</v>
      </c>
      <c r="J412" s="6">
        <v>1</v>
      </c>
      <c r="K412" s="6">
        <v>1</v>
      </c>
      <c r="L412" s="6">
        <v>1</v>
      </c>
      <c r="M412" s="6">
        <v>1</v>
      </c>
      <c r="N412" s="6">
        <v>2144.8200000000002</v>
      </c>
      <c r="O412" s="6">
        <v>0</v>
      </c>
      <c r="P412" s="6">
        <f>IF(O412&gt;0,1,0)</f>
        <v>0</v>
      </c>
      <c r="Q412" s="6">
        <v>0</v>
      </c>
      <c r="R412" s="6">
        <v>6</v>
      </c>
      <c r="S412" s="6">
        <v>52.3</v>
      </c>
      <c r="T412" s="6">
        <f>IF(S412="",MEDIAN($S$2:$S$1409),S412)</f>
        <v>52.3</v>
      </c>
    </row>
    <row r="413" spans="1:20" ht="15" customHeight="1">
      <c r="A413" s="6" t="s">
        <v>447</v>
      </c>
      <c r="B413" s="7">
        <v>45714</v>
      </c>
      <c r="C413" s="6" t="s">
        <v>21</v>
      </c>
      <c r="D413" s="6" t="s">
        <v>27</v>
      </c>
      <c r="E413" s="6" t="s">
        <v>23</v>
      </c>
      <c r="F413" s="6" t="str">
        <f>IF(E413="","Unknown",E413)</f>
        <v>Desktop</v>
      </c>
      <c r="G413" s="6" t="s">
        <v>29</v>
      </c>
      <c r="H413" s="6" t="str">
        <f>IF(G413="","Unknown",G413)</f>
        <v>Organic</v>
      </c>
      <c r="I413" s="6" t="s">
        <v>25</v>
      </c>
      <c r="J413" s="6">
        <v>1</v>
      </c>
      <c r="K413" s="6">
        <v>1</v>
      </c>
      <c r="L413" s="6">
        <v>0</v>
      </c>
      <c r="M413" s="6">
        <v>0</v>
      </c>
      <c r="N413" s="6">
        <v>0</v>
      </c>
      <c r="O413" s="6">
        <v>0</v>
      </c>
      <c r="P413" s="6">
        <f>IF(O413&gt;0,1,0)</f>
        <v>0</v>
      </c>
      <c r="Q413" s="6">
        <v>0</v>
      </c>
      <c r="S413" s="6">
        <v>62.4</v>
      </c>
      <c r="T413" s="6">
        <f>IF(S413="",MEDIAN($S$2:$S$1409),S413)</f>
        <v>62.4</v>
      </c>
    </row>
    <row r="414" spans="1:20" ht="15" customHeight="1">
      <c r="A414" s="6" t="s">
        <v>448</v>
      </c>
      <c r="B414" s="7">
        <v>45782</v>
      </c>
      <c r="C414" s="6" t="s">
        <v>21</v>
      </c>
      <c r="D414" s="6" t="s">
        <v>22</v>
      </c>
      <c r="E414" s="6" t="s">
        <v>28</v>
      </c>
      <c r="F414" s="6" t="str">
        <f>IF(E414="","Unknown",E414)</f>
        <v>Mobile</v>
      </c>
      <c r="G414" s="6" t="s">
        <v>43</v>
      </c>
      <c r="H414" s="6" t="str">
        <f>IF(G414="","Unknown",G414)</f>
        <v>Referral</v>
      </c>
      <c r="I414" s="6" t="s">
        <v>34</v>
      </c>
      <c r="J414" s="6">
        <v>1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f>IF(O414&gt;0,1,0)</f>
        <v>0</v>
      </c>
      <c r="Q414" s="6">
        <v>0</v>
      </c>
      <c r="S414" s="6">
        <v>45.5</v>
      </c>
      <c r="T414" s="6">
        <f>IF(S414="",MEDIAN($S$2:$S$1409),S414)</f>
        <v>45.5</v>
      </c>
    </row>
    <row r="415" spans="1:20" ht="15" customHeight="1">
      <c r="A415" s="6" t="s">
        <v>449</v>
      </c>
      <c r="B415" s="7">
        <v>45665</v>
      </c>
      <c r="C415" s="6" t="s">
        <v>21</v>
      </c>
      <c r="D415" s="6" t="s">
        <v>32</v>
      </c>
      <c r="E415" s="6" t="s">
        <v>23</v>
      </c>
      <c r="F415" s="6" t="str">
        <f>IF(E415="","Unknown",E415)</f>
        <v>Desktop</v>
      </c>
      <c r="G415" s="6" t="s">
        <v>29</v>
      </c>
      <c r="H415" s="6" t="str">
        <f>IF(G415="","Unknown",G415)</f>
        <v>Organic</v>
      </c>
      <c r="I415" s="6" t="s">
        <v>25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1</v>
      </c>
      <c r="P415" s="6">
        <f>IF(O415&gt;0,1,0)</f>
        <v>1</v>
      </c>
      <c r="Q415" s="6">
        <v>0</v>
      </c>
      <c r="S415" s="6">
        <v>72.599999999999994</v>
      </c>
      <c r="T415" s="6">
        <f>IF(S415="",MEDIAN($S$2:$S$1409),S415)</f>
        <v>72.599999999999994</v>
      </c>
    </row>
    <row r="416" spans="1:20" ht="15" customHeight="1">
      <c r="A416" s="6" t="s">
        <v>450</v>
      </c>
      <c r="B416" s="7">
        <v>45735</v>
      </c>
      <c r="C416" s="6" t="s">
        <v>21</v>
      </c>
      <c r="D416" s="6" t="s">
        <v>36</v>
      </c>
      <c r="E416" s="6" t="s">
        <v>28</v>
      </c>
      <c r="F416" s="6" t="str">
        <f>IF(E416="","Unknown",E416)</f>
        <v>Mobile</v>
      </c>
      <c r="G416" s="6" t="s">
        <v>24</v>
      </c>
      <c r="H416" s="6" t="str">
        <f>IF(G416="","Unknown",G416)</f>
        <v>Email</v>
      </c>
      <c r="I416" s="6" t="s">
        <v>34</v>
      </c>
      <c r="J416" s="6">
        <v>1</v>
      </c>
      <c r="K416" s="6">
        <v>1</v>
      </c>
      <c r="L416" s="6">
        <v>1</v>
      </c>
      <c r="M416" s="6">
        <v>0</v>
      </c>
      <c r="N416" s="6">
        <v>0</v>
      </c>
      <c r="O416" s="6">
        <v>0</v>
      </c>
      <c r="P416" s="6">
        <f>IF(O416&gt;0,1,0)</f>
        <v>0</v>
      </c>
      <c r="Q416" s="6">
        <v>0</v>
      </c>
      <c r="S416" s="6">
        <v>50.1</v>
      </c>
      <c r="T416" s="6">
        <f>IF(S416="",MEDIAN($S$2:$S$1409),S416)</f>
        <v>50.1</v>
      </c>
    </row>
    <row r="417" spans="1:20" ht="15" customHeight="1">
      <c r="A417" s="6" t="s">
        <v>451</v>
      </c>
      <c r="B417" s="7">
        <v>45687</v>
      </c>
      <c r="C417" s="6" t="s">
        <v>21</v>
      </c>
      <c r="D417" s="6" t="s">
        <v>32</v>
      </c>
      <c r="E417" s="6" t="s">
        <v>23</v>
      </c>
      <c r="F417" s="6" t="str">
        <f>IF(E417="","Unknown",E417)</f>
        <v>Desktop</v>
      </c>
      <c r="G417" s="6" t="s">
        <v>33</v>
      </c>
      <c r="H417" s="6" t="str">
        <f>IF(G417="","Unknown",G417)</f>
        <v>Paid Search</v>
      </c>
      <c r="I417" s="6" t="s">
        <v>30</v>
      </c>
      <c r="J417" s="6">
        <v>1</v>
      </c>
      <c r="K417" s="6">
        <v>1</v>
      </c>
      <c r="L417" s="6">
        <v>1</v>
      </c>
      <c r="M417" s="6">
        <v>0</v>
      </c>
      <c r="N417" s="6">
        <v>0</v>
      </c>
      <c r="O417" s="6">
        <v>2</v>
      </c>
      <c r="P417" s="6">
        <f>IF(O417&gt;0,1,0)</f>
        <v>1</v>
      </c>
      <c r="Q417" s="6">
        <v>0</v>
      </c>
      <c r="S417" s="6">
        <v>58.1</v>
      </c>
      <c r="T417" s="6">
        <f>IF(S417="",MEDIAN($S$2:$S$1409),S417)</f>
        <v>58.1</v>
      </c>
    </row>
    <row r="418" spans="1:20" ht="15" customHeight="1">
      <c r="A418" s="6" t="s">
        <v>452</v>
      </c>
      <c r="B418" s="7">
        <v>45775</v>
      </c>
      <c r="C418" s="6" t="s">
        <v>21</v>
      </c>
      <c r="D418" s="6" t="s">
        <v>32</v>
      </c>
      <c r="E418" s="6" t="s">
        <v>28</v>
      </c>
      <c r="F418" s="6" t="str">
        <f>IF(E418="","Unknown",E418)</f>
        <v>Mobile</v>
      </c>
      <c r="G418" s="6" t="s">
        <v>29</v>
      </c>
      <c r="H418" s="6" t="str">
        <f>IF(G418="","Unknown",G418)</f>
        <v>Organic</v>
      </c>
      <c r="I418" s="6" t="s">
        <v>25</v>
      </c>
      <c r="J418" s="6">
        <v>1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f>IF(O418&gt;0,1,0)</f>
        <v>0</v>
      </c>
      <c r="Q418" s="6">
        <v>0</v>
      </c>
      <c r="S418" s="6">
        <v>42.9</v>
      </c>
      <c r="T418" s="6">
        <f>IF(S418="",MEDIAN($S$2:$S$1409),S418)</f>
        <v>42.9</v>
      </c>
    </row>
    <row r="419" spans="1:20" ht="15" customHeight="1">
      <c r="A419" s="6" t="s">
        <v>453</v>
      </c>
      <c r="B419" s="7">
        <v>45723</v>
      </c>
      <c r="C419" s="6" t="s">
        <v>21</v>
      </c>
      <c r="D419" s="6" t="s">
        <v>22</v>
      </c>
      <c r="E419" s="6" t="s">
        <v>28</v>
      </c>
      <c r="F419" s="6" t="str">
        <f>IF(E419="","Unknown",E419)</f>
        <v>Mobile</v>
      </c>
      <c r="G419" s="6" t="s">
        <v>43</v>
      </c>
      <c r="H419" s="6" t="str">
        <f>IF(G419="","Unknown",G419)</f>
        <v>Referral</v>
      </c>
      <c r="I419" s="6" t="s">
        <v>25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f>IF(O419&gt;0,1,0)</f>
        <v>0</v>
      </c>
      <c r="Q419" s="6">
        <v>0</v>
      </c>
      <c r="S419" s="6">
        <v>69.7</v>
      </c>
      <c r="T419" s="6">
        <f>IF(S419="",MEDIAN($S$2:$S$1409),S419)</f>
        <v>69.7</v>
      </c>
    </row>
    <row r="420" spans="1:20" ht="15" customHeight="1">
      <c r="A420" s="6" t="s">
        <v>454</v>
      </c>
      <c r="B420" s="7">
        <v>45754</v>
      </c>
      <c r="C420" s="6" t="s">
        <v>21</v>
      </c>
      <c r="D420" s="6" t="s">
        <v>22</v>
      </c>
      <c r="E420" s="6" t="s">
        <v>23</v>
      </c>
      <c r="F420" s="6" t="str">
        <f>IF(E420="","Unknown",E420)</f>
        <v>Desktop</v>
      </c>
      <c r="G420" s="6" t="s">
        <v>29</v>
      </c>
      <c r="H420" s="6" t="str">
        <f>IF(G420="","Unknown",G420)</f>
        <v>Organic</v>
      </c>
      <c r="I420" s="6" t="s">
        <v>30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f>IF(O420&gt;0,1,0)</f>
        <v>0</v>
      </c>
      <c r="Q420" s="6">
        <v>0</v>
      </c>
      <c r="S420" s="6">
        <v>63.3</v>
      </c>
      <c r="T420" s="6">
        <f>IF(S420="",MEDIAN($S$2:$S$1409),S420)</f>
        <v>63.3</v>
      </c>
    </row>
    <row r="421" spans="1:20" ht="15" customHeight="1">
      <c r="A421" s="6" t="s">
        <v>455</v>
      </c>
      <c r="B421" s="7">
        <v>45785</v>
      </c>
      <c r="C421" s="6" t="s">
        <v>21</v>
      </c>
      <c r="D421" s="6" t="s">
        <v>22</v>
      </c>
      <c r="E421" s="6" t="s">
        <v>23</v>
      </c>
      <c r="F421" s="6" t="str">
        <f>IF(E421="","Unknown",E421)</f>
        <v>Desktop</v>
      </c>
      <c r="G421" s="6" t="s">
        <v>29</v>
      </c>
      <c r="H421" s="6" t="str">
        <f>IF(G421="","Unknown",G421)</f>
        <v>Organic</v>
      </c>
      <c r="I421" s="6" t="s">
        <v>34</v>
      </c>
      <c r="J421" s="6">
        <v>1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f>IF(O421&gt;0,1,0)</f>
        <v>0</v>
      </c>
      <c r="Q421" s="6">
        <v>0</v>
      </c>
      <c r="S421" s="6">
        <v>71.2</v>
      </c>
      <c r="T421" s="6">
        <f>IF(S421="",MEDIAN($S$2:$S$1409),S421)</f>
        <v>71.2</v>
      </c>
    </row>
    <row r="422" spans="1:20" ht="15" customHeight="1">
      <c r="A422" s="6" t="s">
        <v>456</v>
      </c>
      <c r="B422" s="7">
        <v>45762</v>
      </c>
      <c r="C422" s="6" t="s">
        <v>21</v>
      </c>
      <c r="D422" s="6" t="s">
        <v>36</v>
      </c>
      <c r="E422" s="6" t="s">
        <v>28</v>
      </c>
      <c r="F422" s="6" t="str">
        <f>IF(E422="","Unknown",E422)</f>
        <v>Mobile</v>
      </c>
      <c r="G422" s="6" t="s">
        <v>24</v>
      </c>
      <c r="H422" s="6" t="str">
        <f>IF(G422="","Unknown",G422)</f>
        <v>Email</v>
      </c>
      <c r="I422" s="6" t="s">
        <v>30</v>
      </c>
      <c r="J422" s="6">
        <v>1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f>IF(O422&gt;0,1,0)</f>
        <v>0</v>
      </c>
      <c r="Q422" s="6">
        <v>0</v>
      </c>
      <c r="S422" s="6">
        <v>39.1</v>
      </c>
      <c r="T422" s="6">
        <f>IF(S422="",MEDIAN($S$2:$S$1409),S422)</f>
        <v>39.1</v>
      </c>
    </row>
    <row r="423" spans="1:20" ht="15" customHeight="1">
      <c r="A423" s="6" t="s">
        <v>457</v>
      </c>
      <c r="B423" s="7">
        <v>45767</v>
      </c>
      <c r="C423" s="6" t="s">
        <v>21</v>
      </c>
      <c r="D423" s="6" t="s">
        <v>32</v>
      </c>
      <c r="E423" s="6" t="s">
        <v>23</v>
      </c>
      <c r="F423" s="6" t="str">
        <f>IF(E423="","Unknown",E423)</f>
        <v>Desktop</v>
      </c>
      <c r="G423" s="6" t="s">
        <v>45</v>
      </c>
      <c r="H423" s="6" t="str">
        <f>IF(G423="","Unknown",G423)</f>
        <v>Social</v>
      </c>
      <c r="I423" s="6" t="s">
        <v>30</v>
      </c>
      <c r="J423" s="6">
        <v>1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f>IF(O423&gt;0,1,0)</f>
        <v>0</v>
      </c>
      <c r="Q423" s="6">
        <v>0</v>
      </c>
      <c r="S423" s="6">
        <v>42.6</v>
      </c>
      <c r="T423" s="6">
        <f>IF(S423="",MEDIAN($S$2:$S$1409),S423)</f>
        <v>42.6</v>
      </c>
    </row>
    <row r="424" spans="1:20" ht="15" customHeight="1">
      <c r="A424" s="6" t="s">
        <v>458</v>
      </c>
      <c r="B424" s="7">
        <v>45807</v>
      </c>
      <c r="C424" s="6" t="s">
        <v>21</v>
      </c>
      <c r="D424" s="6" t="s">
        <v>36</v>
      </c>
      <c r="E424" s="6" t="s">
        <v>38</v>
      </c>
      <c r="F424" s="6" t="str">
        <f>IF(E424="","Unknown",E424)</f>
        <v>Tablet</v>
      </c>
      <c r="G424" s="6" t="s">
        <v>29</v>
      </c>
      <c r="H424" s="6" t="str">
        <f>IF(G424="","Unknown",G424)</f>
        <v>Organic</v>
      </c>
      <c r="I424" s="6" t="s">
        <v>30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f>IF(O424&gt;0,1,0)</f>
        <v>0</v>
      </c>
      <c r="Q424" s="6">
        <v>0</v>
      </c>
      <c r="S424" s="6">
        <v>74.400000000000006</v>
      </c>
      <c r="T424" s="6">
        <f>IF(S424="",MEDIAN($S$2:$S$1409),S424)</f>
        <v>74.400000000000006</v>
      </c>
    </row>
    <row r="425" spans="1:20" ht="15" customHeight="1">
      <c r="A425" s="6" t="s">
        <v>459</v>
      </c>
      <c r="B425" s="7">
        <v>45701</v>
      </c>
      <c r="C425" s="6" t="s">
        <v>21</v>
      </c>
      <c r="D425" s="6" t="s">
        <v>27</v>
      </c>
      <c r="E425" s="6" t="s">
        <v>28</v>
      </c>
      <c r="F425" s="6" t="str">
        <f>IF(E425="","Unknown",E425)</f>
        <v>Mobile</v>
      </c>
      <c r="G425" s="6" t="s">
        <v>43</v>
      </c>
      <c r="H425" s="6" t="str">
        <f>IF(G425="","Unknown",G425)</f>
        <v>Referral</v>
      </c>
      <c r="I425" s="6" t="s">
        <v>30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f>IF(O425&gt;0,1,0)</f>
        <v>0</v>
      </c>
      <c r="Q425" s="6">
        <v>0</v>
      </c>
      <c r="S425" s="6">
        <v>55.6</v>
      </c>
      <c r="T425" s="6">
        <f>IF(S425="",MEDIAN($S$2:$S$1409),S425)</f>
        <v>55.6</v>
      </c>
    </row>
    <row r="426" spans="1:20" ht="15" customHeight="1">
      <c r="A426" s="6" t="s">
        <v>460</v>
      </c>
      <c r="B426" s="7">
        <v>45775</v>
      </c>
      <c r="C426" s="6" t="s">
        <v>21</v>
      </c>
      <c r="D426" s="6" t="s">
        <v>27</v>
      </c>
      <c r="E426" s="6" t="s">
        <v>28</v>
      </c>
      <c r="F426" s="6" t="str">
        <f>IF(E426="","Unknown",E426)</f>
        <v>Mobile</v>
      </c>
      <c r="G426" s="6" t="s">
        <v>45</v>
      </c>
      <c r="H426" s="6" t="str">
        <f>IF(G426="","Unknown",G426)</f>
        <v>Social</v>
      </c>
      <c r="I426" s="6" t="s">
        <v>30</v>
      </c>
      <c r="J426" s="6">
        <v>1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f>IF(O426&gt;0,1,0)</f>
        <v>0</v>
      </c>
      <c r="Q426" s="6">
        <v>0</v>
      </c>
      <c r="S426" s="6">
        <v>35.799999999999997</v>
      </c>
      <c r="T426" s="6">
        <f>IF(S426="",MEDIAN($S$2:$S$1409),S426)</f>
        <v>35.799999999999997</v>
      </c>
    </row>
    <row r="427" spans="1:20" ht="15" customHeight="1">
      <c r="A427" s="6" t="s">
        <v>461</v>
      </c>
      <c r="B427" s="7">
        <v>45700</v>
      </c>
      <c r="C427" s="6" t="s">
        <v>21</v>
      </c>
      <c r="D427" s="6" t="s">
        <v>22</v>
      </c>
      <c r="E427" s="6" t="s">
        <v>28</v>
      </c>
      <c r="F427" s="6" t="str">
        <f>IF(E427="","Unknown",E427)</f>
        <v>Mobile</v>
      </c>
      <c r="G427" s="6" t="s">
        <v>33</v>
      </c>
      <c r="H427" s="6" t="str">
        <f>IF(G427="","Unknown",G427)</f>
        <v>Paid Search</v>
      </c>
      <c r="I427" s="6" t="s">
        <v>25</v>
      </c>
      <c r="J427" s="6">
        <v>1</v>
      </c>
      <c r="K427" s="6">
        <v>0</v>
      </c>
      <c r="L427" s="6">
        <v>0</v>
      </c>
      <c r="M427" s="6">
        <v>0</v>
      </c>
      <c r="N427" s="6">
        <v>0</v>
      </c>
      <c r="O427" s="6">
        <v>1</v>
      </c>
      <c r="P427" s="6">
        <f>IF(O427&gt;0,1,0)</f>
        <v>1</v>
      </c>
      <c r="Q427" s="6">
        <v>0</v>
      </c>
      <c r="S427" s="6">
        <v>28.2</v>
      </c>
      <c r="T427" s="6">
        <f>IF(S427="",MEDIAN($S$2:$S$1409),S427)</f>
        <v>28.2</v>
      </c>
    </row>
    <row r="428" spans="1:20" ht="15" customHeight="1">
      <c r="A428" s="6" t="s">
        <v>462</v>
      </c>
      <c r="B428" s="7">
        <v>45700</v>
      </c>
      <c r="C428" s="6" t="s">
        <v>21</v>
      </c>
      <c r="D428" s="6" t="s">
        <v>32</v>
      </c>
      <c r="E428" s="6" t="s">
        <v>28</v>
      </c>
      <c r="F428" s="6" t="str">
        <f>IF(E428="","Unknown",E428)</f>
        <v>Mobile</v>
      </c>
      <c r="G428" s="6" t="s">
        <v>29</v>
      </c>
      <c r="H428" s="6" t="str">
        <f>IF(G428="","Unknown",G428)</f>
        <v>Organic</v>
      </c>
      <c r="I428" s="6" t="s">
        <v>30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2</v>
      </c>
      <c r="P428" s="6">
        <f>IF(O428&gt;0,1,0)</f>
        <v>1</v>
      </c>
      <c r="Q428" s="6">
        <v>0</v>
      </c>
      <c r="S428" s="6">
        <v>44.4</v>
      </c>
      <c r="T428" s="6">
        <f>IF(S428="",MEDIAN($S$2:$S$1409),S428)</f>
        <v>44.4</v>
      </c>
    </row>
    <row r="429" spans="1:20" ht="15" customHeight="1">
      <c r="A429" s="6" t="s">
        <v>463</v>
      </c>
      <c r="B429" s="7">
        <v>45743</v>
      </c>
      <c r="C429" s="6" t="s">
        <v>21</v>
      </c>
      <c r="D429" s="6" t="s">
        <v>22</v>
      </c>
      <c r="E429" s="6" t="s">
        <v>28</v>
      </c>
      <c r="F429" s="6" t="str">
        <f>IF(E429="","Unknown",E429)</f>
        <v>Mobile</v>
      </c>
      <c r="G429" s="6" t="s">
        <v>24</v>
      </c>
      <c r="H429" s="6" t="str">
        <f>IF(G429="","Unknown",G429)</f>
        <v>Email</v>
      </c>
      <c r="I429" s="6" t="s">
        <v>34</v>
      </c>
      <c r="J429" s="6">
        <v>1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f>IF(O429&gt;0,1,0)</f>
        <v>0</v>
      </c>
      <c r="Q429" s="6">
        <v>0</v>
      </c>
      <c r="S429" s="6">
        <v>49.9</v>
      </c>
      <c r="T429" s="6">
        <f>IF(S429="",MEDIAN($S$2:$S$1409),S429)</f>
        <v>49.9</v>
      </c>
    </row>
    <row r="430" spans="1:20" ht="15" customHeight="1">
      <c r="A430" s="6" t="s">
        <v>464</v>
      </c>
      <c r="B430" s="7">
        <v>45759</v>
      </c>
      <c r="C430" s="6" t="s">
        <v>21</v>
      </c>
      <c r="D430" s="6" t="s">
        <v>36</v>
      </c>
      <c r="E430" s="6" t="s">
        <v>23</v>
      </c>
      <c r="F430" s="6" t="str">
        <f>IF(E430="","Unknown",E430)</f>
        <v>Desktop</v>
      </c>
      <c r="G430" s="6" t="s">
        <v>29</v>
      </c>
      <c r="H430" s="6" t="str">
        <f>IF(G430="","Unknown",G430)</f>
        <v>Organic</v>
      </c>
      <c r="I430" s="6" t="s">
        <v>30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f>IF(O430&gt;0,1,0)</f>
        <v>0</v>
      </c>
      <c r="Q430" s="6">
        <v>0</v>
      </c>
      <c r="S430" s="6">
        <v>40.4</v>
      </c>
      <c r="T430" s="6">
        <f>IF(S430="",MEDIAN($S$2:$S$1409),S430)</f>
        <v>40.4</v>
      </c>
    </row>
    <row r="431" spans="1:20" ht="15" customHeight="1">
      <c r="A431" s="6" t="s">
        <v>465</v>
      </c>
      <c r="B431" s="7">
        <v>45687</v>
      </c>
      <c r="C431" s="6" t="s">
        <v>21</v>
      </c>
      <c r="D431" s="6" t="s">
        <v>27</v>
      </c>
      <c r="E431" s="6" t="s">
        <v>28</v>
      </c>
      <c r="F431" s="6" t="str">
        <f>IF(E431="","Unknown",E431)</f>
        <v>Mobile</v>
      </c>
      <c r="G431" s="6" t="s">
        <v>45</v>
      </c>
      <c r="H431" s="6" t="str">
        <f>IF(G431="","Unknown",G431)</f>
        <v>Social</v>
      </c>
      <c r="I431" s="6" t="s">
        <v>30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f>IF(O431&gt;0,1,0)</f>
        <v>0</v>
      </c>
      <c r="Q431" s="6">
        <v>0</v>
      </c>
      <c r="S431" s="6">
        <v>60.4</v>
      </c>
      <c r="T431" s="6">
        <f>IF(S431="",MEDIAN($S$2:$S$1409),S431)</f>
        <v>60.4</v>
      </c>
    </row>
    <row r="432" spans="1:20" ht="15" customHeight="1">
      <c r="A432" s="6" t="s">
        <v>466</v>
      </c>
      <c r="B432" s="7">
        <v>45805</v>
      </c>
      <c r="C432" s="6" t="s">
        <v>21</v>
      </c>
      <c r="D432" s="6" t="s">
        <v>27</v>
      </c>
      <c r="E432" s="6" t="s">
        <v>28</v>
      </c>
      <c r="F432" s="6" t="str">
        <f>IF(E432="","Unknown",E432)</f>
        <v>Mobile</v>
      </c>
      <c r="G432" s="6" t="s">
        <v>45</v>
      </c>
      <c r="H432" s="6" t="str">
        <f>IF(G432="","Unknown",G432)</f>
        <v>Social</v>
      </c>
      <c r="I432" s="6" t="s">
        <v>34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1</v>
      </c>
      <c r="P432" s="6">
        <f>IF(O432&gt;0,1,0)</f>
        <v>1</v>
      </c>
      <c r="Q432" s="6">
        <v>0</v>
      </c>
      <c r="S432" s="6">
        <v>52.4</v>
      </c>
      <c r="T432" s="6">
        <f>IF(S432="",MEDIAN($S$2:$S$1409),S432)</f>
        <v>52.4</v>
      </c>
    </row>
    <row r="433" spans="1:20" ht="15" customHeight="1">
      <c r="A433" s="6" t="s">
        <v>467</v>
      </c>
      <c r="B433" s="7">
        <v>45778</v>
      </c>
      <c r="C433" s="6" t="s">
        <v>21</v>
      </c>
      <c r="D433" s="6" t="s">
        <v>36</v>
      </c>
      <c r="E433" s="6" t="s">
        <v>28</v>
      </c>
      <c r="F433" s="6" t="str">
        <f>IF(E433="","Unknown",E433)</f>
        <v>Mobile</v>
      </c>
      <c r="G433" s="6" t="s">
        <v>29</v>
      </c>
      <c r="H433" s="6" t="str">
        <f>IF(G433="","Unknown",G433)</f>
        <v>Organic</v>
      </c>
      <c r="I433" s="6" t="s">
        <v>25</v>
      </c>
      <c r="J433" s="6">
        <v>1</v>
      </c>
      <c r="K433" s="6">
        <v>1</v>
      </c>
      <c r="L433" s="6">
        <v>0</v>
      </c>
      <c r="M433" s="6">
        <v>0</v>
      </c>
      <c r="N433" s="6">
        <v>0</v>
      </c>
      <c r="O433" s="6">
        <v>0</v>
      </c>
      <c r="P433" s="6">
        <f>IF(O433&gt;0,1,0)</f>
        <v>0</v>
      </c>
      <c r="Q433" s="6">
        <v>0</v>
      </c>
      <c r="S433" s="6">
        <v>48.8</v>
      </c>
      <c r="T433" s="6">
        <f>IF(S433="",MEDIAN($S$2:$S$1409),S433)</f>
        <v>48.8</v>
      </c>
    </row>
    <row r="434" spans="1:20" ht="15" customHeight="1">
      <c r="A434" s="6" t="s">
        <v>468</v>
      </c>
      <c r="B434" s="7">
        <v>45691</v>
      </c>
      <c r="C434" s="6" t="s">
        <v>21</v>
      </c>
      <c r="D434" s="6" t="s">
        <v>22</v>
      </c>
      <c r="E434" s="6" t="s">
        <v>38</v>
      </c>
      <c r="F434" s="6" t="str">
        <f>IF(E434="","Unknown",E434)</f>
        <v>Tablet</v>
      </c>
      <c r="G434" s="6" t="s">
        <v>24</v>
      </c>
      <c r="H434" s="6" t="str">
        <f>IF(G434="","Unknown",G434)</f>
        <v>Email</v>
      </c>
      <c r="I434" s="6" t="s">
        <v>25</v>
      </c>
      <c r="J434" s="6">
        <v>1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f>IF(O434&gt;0,1,0)</f>
        <v>0</v>
      </c>
      <c r="Q434" s="6">
        <v>0</v>
      </c>
      <c r="S434" s="6">
        <v>60.9</v>
      </c>
      <c r="T434" s="6">
        <f>IF(S434="",MEDIAN($S$2:$S$1409),S434)</f>
        <v>60.9</v>
      </c>
    </row>
    <row r="435" spans="1:20" ht="15" customHeight="1">
      <c r="A435" s="6" t="s">
        <v>469</v>
      </c>
      <c r="B435" s="7">
        <v>45667</v>
      </c>
      <c r="C435" s="6" t="s">
        <v>21</v>
      </c>
      <c r="D435" s="6" t="s">
        <v>36</v>
      </c>
      <c r="E435" s="6" t="s">
        <v>23</v>
      </c>
      <c r="F435" s="6" t="str">
        <f>IF(E435="","Unknown",E435)</f>
        <v>Desktop</v>
      </c>
      <c r="G435" s="6" t="s">
        <v>45</v>
      </c>
      <c r="H435" s="6" t="str">
        <f>IF(G435="","Unknown",G435)</f>
        <v>Social</v>
      </c>
      <c r="I435" s="6" t="s">
        <v>25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f>IF(O435&gt;0,1,0)</f>
        <v>0</v>
      </c>
      <c r="Q435" s="6">
        <v>0</v>
      </c>
      <c r="S435" s="6">
        <v>68.2</v>
      </c>
      <c r="T435" s="6">
        <f>IF(S435="",MEDIAN($S$2:$S$1409),S435)</f>
        <v>68.2</v>
      </c>
    </row>
    <row r="436" spans="1:20" ht="15" customHeight="1">
      <c r="A436" s="6" t="s">
        <v>470</v>
      </c>
      <c r="B436" s="7">
        <v>45779</v>
      </c>
      <c r="C436" s="6" t="s">
        <v>21</v>
      </c>
      <c r="D436" s="6" t="s">
        <v>22</v>
      </c>
      <c r="E436" s="6" t="s">
        <v>23</v>
      </c>
      <c r="F436" s="6" t="str">
        <f>IF(E436="","Unknown",E436)</f>
        <v>Desktop</v>
      </c>
      <c r="G436" s="6" t="s">
        <v>29</v>
      </c>
      <c r="H436" s="6" t="str">
        <f>IF(G436="","Unknown",G436)</f>
        <v>Organic</v>
      </c>
      <c r="I436" s="6" t="s">
        <v>25</v>
      </c>
      <c r="J436" s="6">
        <v>1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f>IF(O436&gt;0,1,0)</f>
        <v>0</v>
      </c>
      <c r="Q436" s="6">
        <v>0</v>
      </c>
      <c r="S436" s="6">
        <v>65.599999999999994</v>
      </c>
      <c r="T436" s="6">
        <f>IF(S436="",MEDIAN($S$2:$S$1409),S436)</f>
        <v>65.599999999999994</v>
      </c>
    </row>
    <row r="437" spans="1:20" ht="15" customHeight="1">
      <c r="A437" s="6" t="s">
        <v>471</v>
      </c>
      <c r="B437" s="7">
        <v>45803</v>
      </c>
      <c r="C437" s="6" t="s">
        <v>21</v>
      </c>
      <c r="D437" s="6" t="s">
        <v>22</v>
      </c>
      <c r="E437" s="6" t="s">
        <v>23</v>
      </c>
      <c r="F437" s="6" t="str">
        <f>IF(E437="","Unknown",E437)</f>
        <v>Desktop</v>
      </c>
      <c r="G437" s="6" t="s">
        <v>29</v>
      </c>
      <c r="H437" s="6" t="str">
        <f>IF(G437="","Unknown",G437)</f>
        <v>Organic</v>
      </c>
      <c r="I437" s="6" t="s">
        <v>25</v>
      </c>
      <c r="J437" s="6">
        <v>1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f>IF(O437&gt;0,1,0)</f>
        <v>0</v>
      </c>
      <c r="Q437" s="6">
        <v>0</v>
      </c>
      <c r="S437" s="6">
        <v>65.400000000000006</v>
      </c>
      <c r="T437" s="6">
        <f>IF(S437="",MEDIAN($S$2:$S$1409),S437)</f>
        <v>65.400000000000006</v>
      </c>
    </row>
    <row r="438" spans="1:20" ht="15" customHeight="1">
      <c r="A438" s="6" t="s">
        <v>472</v>
      </c>
      <c r="B438" s="7">
        <v>45669</v>
      </c>
      <c r="C438" s="6" t="s">
        <v>21</v>
      </c>
      <c r="D438" s="6" t="s">
        <v>27</v>
      </c>
      <c r="E438" s="6" t="s">
        <v>28</v>
      </c>
      <c r="F438" s="6" t="str">
        <f>IF(E438="","Unknown",E438)</f>
        <v>Mobile</v>
      </c>
      <c r="G438" s="6" t="s">
        <v>29</v>
      </c>
      <c r="H438" s="6" t="str">
        <f>IF(G438="","Unknown",G438)</f>
        <v>Organic</v>
      </c>
      <c r="I438" s="6" t="s">
        <v>25</v>
      </c>
      <c r="J438" s="6">
        <v>1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f>IF(O438&gt;0,1,0)</f>
        <v>0</v>
      </c>
      <c r="Q438" s="6">
        <v>0</v>
      </c>
      <c r="S438" s="6">
        <v>78.900000000000006</v>
      </c>
      <c r="T438" s="6">
        <f>IF(S438="",MEDIAN($S$2:$S$1409),S438)</f>
        <v>78.900000000000006</v>
      </c>
    </row>
    <row r="439" spans="1:20" ht="15" customHeight="1">
      <c r="A439" s="6" t="s">
        <v>473</v>
      </c>
      <c r="B439" s="7">
        <v>45804</v>
      </c>
      <c r="C439" s="6" t="s">
        <v>21</v>
      </c>
      <c r="D439" s="6" t="s">
        <v>32</v>
      </c>
      <c r="E439" s="6" t="s">
        <v>28</v>
      </c>
      <c r="F439" s="6" t="str">
        <f>IF(E439="","Unknown",E439)</f>
        <v>Mobile</v>
      </c>
      <c r="G439" s="6" t="s">
        <v>33</v>
      </c>
      <c r="H439" s="6" t="str">
        <f>IF(G439="","Unknown",G439)</f>
        <v>Paid Search</v>
      </c>
      <c r="I439" s="6" t="s">
        <v>25</v>
      </c>
      <c r="J439" s="6">
        <v>1</v>
      </c>
      <c r="K439" s="6">
        <v>1</v>
      </c>
      <c r="L439" s="6">
        <v>1</v>
      </c>
      <c r="M439" s="6">
        <v>0</v>
      </c>
      <c r="N439" s="6">
        <v>0</v>
      </c>
      <c r="O439" s="6">
        <v>0</v>
      </c>
      <c r="P439" s="6">
        <f>IF(O439&gt;0,1,0)</f>
        <v>0</v>
      </c>
      <c r="Q439" s="6">
        <v>0</v>
      </c>
      <c r="S439" s="6">
        <v>78.3</v>
      </c>
      <c r="T439" s="6">
        <f>IF(S439="",MEDIAN($S$2:$S$1409),S439)</f>
        <v>78.3</v>
      </c>
    </row>
    <row r="440" spans="1:20" ht="15" customHeight="1">
      <c r="A440" s="6" t="s">
        <v>474</v>
      </c>
      <c r="B440" s="7">
        <v>45799</v>
      </c>
      <c r="C440" s="6" t="s">
        <v>21</v>
      </c>
      <c r="D440" s="6" t="s">
        <v>27</v>
      </c>
      <c r="E440" s="6" t="s">
        <v>23</v>
      </c>
      <c r="F440" s="6" t="str">
        <f>IF(E440="","Unknown",E440)</f>
        <v>Desktop</v>
      </c>
      <c r="G440" s="6" t="s">
        <v>24</v>
      </c>
      <c r="H440" s="6" t="str">
        <f>IF(G440="","Unknown",G440)</f>
        <v>Email</v>
      </c>
      <c r="I440" s="6" t="s">
        <v>25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f>IF(O440&gt;0,1,0)</f>
        <v>0</v>
      </c>
      <c r="Q440" s="6">
        <v>0</v>
      </c>
      <c r="S440" s="6">
        <v>49.2</v>
      </c>
      <c r="T440" s="6">
        <f>IF(S440="",MEDIAN($S$2:$S$1409),S440)</f>
        <v>49.2</v>
      </c>
    </row>
    <row r="441" spans="1:20" ht="15" customHeight="1">
      <c r="A441" s="6" t="s">
        <v>475</v>
      </c>
      <c r="B441" s="7">
        <v>45748</v>
      </c>
      <c r="C441" s="6" t="s">
        <v>21</v>
      </c>
      <c r="D441" s="6" t="s">
        <v>32</v>
      </c>
      <c r="E441" s="6" t="s">
        <v>28</v>
      </c>
      <c r="F441" s="6" t="str">
        <f>IF(E441="","Unknown",E441)</f>
        <v>Mobile</v>
      </c>
      <c r="G441" s="6" t="s">
        <v>45</v>
      </c>
      <c r="H441" s="6" t="str">
        <f>IF(G441="","Unknown",G441)</f>
        <v>Social</v>
      </c>
      <c r="I441" s="6" t="s">
        <v>34</v>
      </c>
      <c r="J441" s="6">
        <v>1</v>
      </c>
      <c r="K441" s="6">
        <v>1</v>
      </c>
      <c r="L441" s="6">
        <v>1</v>
      </c>
      <c r="M441" s="6">
        <v>1</v>
      </c>
      <c r="N441" s="6">
        <v>1518.83</v>
      </c>
      <c r="O441" s="6">
        <v>0</v>
      </c>
      <c r="P441" s="6">
        <f>IF(O441&gt;0,1,0)</f>
        <v>0</v>
      </c>
      <c r="Q441" s="6">
        <v>0</v>
      </c>
      <c r="R441" s="6">
        <v>9</v>
      </c>
      <c r="S441" s="6">
        <v>32.200000000000003</v>
      </c>
      <c r="T441" s="6">
        <f>IF(S441="",MEDIAN($S$2:$S$1409),S441)</f>
        <v>32.200000000000003</v>
      </c>
    </row>
    <row r="442" spans="1:20" ht="15" customHeight="1">
      <c r="A442" s="6" t="s">
        <v>476</v>
      </c>
      <c r="B442" s="7">
        <v>45679</v>
      </c>
      <c r="C442" s="6" t="s">
        <v>21</v>
      </c>
      <c r="D442" s="6" t="s">
        <v>22</v>
      </c>
      <c r="E442" s="6" t="s">
        <v>28</v>
      </c>
      <c r="F442" s="6" t="str">
        <f>IF(E442="","Unknown",E442)</f>
        <v>Mobile</v>
      </c>
      <c r="G442" s="6" t="s">
        <v>33</v>
      </c>
      <c r="H442" s="6" t="str">
        <f>IF(G442="","Unknown",G442)</f>
        <v>Paid Search</v>
      </c>
      <c r="I442" s="6" t="s">
        <v>25</v>
      </c>
      <c r="J442" s="6">
        <v>1</v>
      </c>
      <c r="K442" s="6">
        <v>1</v>
      </c>
      <c r="L442" s="6">
        <v>1</v>
      </c>
      <c r="M442" s="6">
        <v>0</v>
      </c>
      <c r="N442" s="6">
        <v>0</v>
      </c>
      <c r="O442" s="6">
        <v>0</v>
      </c>
      <c r="P442" s="6">
        <f>IF(O442&gt;0,1,0)</f>
        <v>0</v>
      </c>
      <c r="Q442" s="6">
        <v>0</v>
      </c>
      <c r="S442" s="6">
        <v>46.3</v>
      </c>
      <c r="T442" s="6">
        <f>IF(S442="",MEDIAN($S$2:$S$1409),S442)</f>
        <v>46.3</v>
      </c>
    </row>
    <row r="443" spans="1:20" ht="15" customHeight="1">
      <c r="A443" s="6" t="s">
        <v>477</v>
      </c>
      <c r="B443" s="7">
        <v>45801</v>
      </c>
      <c r="C443" s="6" t="s">
        <v>21</v>
      </c>
      <c r="D443" s="6" t="s">
        <v>32</v>
      </c>
      <c r="E443" s="6" t="s">
        <v>28</v>
      </c>
      <c r="F443" s="6" t="str">
        <f>IF(E443="","Unknown",E443)</f>
        <v>Mobile</v>
      </c>
      <c r="G443" s="6" t="s">
        <v>33</v>
      </c>
      <c r="H443" s="6" t="str">
        <f>IF(G443="","Unknown",G443)</f>
        <v>Paid Search</v>
      </c>
      <c r="I443" s="6" t="s">
        <v>25</v>
      </c>
      <c r="J443" s="6">
        <v>1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f>IF(O443&gt;0,1,0)</f>
        <v>0</v>
      </c>
      <c r="Q443" s="6">
        <v>0</v>
      </c>
      <c r="S443" s="6">
        <v>55.7</v>
      </c>
      <c r="T443" s="6">
        <f>IF(S443="",MEDIAN($S$2:$S$1409),S443)</f>
        <v>55.7</v>
      </c>
    </row>
    <row r="444" spans="1:20" ht="15" customHeight="1">
      <c r="A444" s="6" t="s">
        <v>478</v>
      </c>
      <c r="B444" s="7">
        <v>45772</v>
      </c>
      <c r="C444" s="6" t="s">
        <v>21</v>
      </c>
      <c r="D444" s="6" t="s">
        <v>36</v>
      </c>
      <c r="E444" s="6" t="s">
        <v>28</v>
      </c>
      <c r="F444" s="6" t="str">
        <f>IF(E444="","Unknown",E444)</f>
        <v>Mobile</v>
      </c>
      <c r="G444" s="6" t="s">
        <v>45</v>
      </c>
      <c r="H444" s="6" t="str">
        <f>IF(G444="","Unknown",G444)</f>
        <v>Social</v>
      </c>
      <c r="I444" s="6" t="s">
        <v>30</v>
      </c>
      <c r="J444" s="6">
        <v>1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f>IF(O444&gt;0,1,0)</f>
        <v>0</v>
      </c>
      <c r="Q444" s="6">
        <v>0</v>
      </c>
      <c r="S444" s="6">
        <v>44.5</v>
      </c>
      <c r="T444" s="6">
        <f>IF(S444="",MEDIAN($S$2:$S$1409),S444)</f>
        <v>44.5</v>
      </c>
    </row>
    <row r="445" spans="1:20" ht="15" customHeight="1">
      <c r="A445" s="6" t="s">
        <v>479</v>
      </c>
      <c r="B445" s="7">
        <v>45759</v>
      </c>
      <c r="C445" s="6" t="s">
        <v>21</v>
      </c>
      <c r="D445" s="6" t="s">
        <v>27</v>
      </c>
      <c r="E445" s="6" t="s">
        <v>23</v>
      </c>
      <c r="F445" s="6" t="str">
        <f>IF(E445="","Unknown",E445)</f>
        <v>Desktop</v>
      </c>
      <c r="G445" s="6" t="s">
        <v>43</v>
      </c>
      <c r="H445" s="6" t="str">
        <f>IF(G445="","Unknown",G445)</f>
        <v>Referral</v>
      </c>
      <c r="I445" s="6" t="s">
        <v>30</v>
      </c>
      <c r="J445" s="6">
        <v>1</v>
      </c>
      <c r="K445" s="6">
        <v>1</v>
      </c>
      <c r="L445" s="6">
        <v>1</v>
      </c>
      <c r="M445" s="6">
        <v>0</v>
      </c>
      <c r="N445" s="6">
        <v>0</v>
      </c>
      <c r="O445" s="6">
        <v>1</v>
      </c>
      <c r="P445" s="6">
        <f>IF(O445&gt;0,1,0)</f>
        <v>1</v>
      </c>
      <c r="Q445" s="6">
        <v>0</v>
      </c>
      <c r="S445" s="6">
        <v>47.9</v>
      </c>
      <c r="T445" s="6">
        <f>IF(S445="",MEDIAN($S$2:$S$1409),S445)</f>
        <v>47.9</v>
      </c>
    </row>
    <row r="446" spans="1:20" ht="15" customHeight="1">
      <c r="A446" s="6" t="s">
        <v>480</v>
      </c>
      <c r="B446" s="7">
        <v>45770</v>
      </c>
      <c r="C446" s="6" t="s">
        <v>21</v>
      </c>
      <c r="D446" s="6" t="s">
        <v>36</v>
      </c>
      <c r="E446" s="6" t="s">
        <v>28</v>
      </c>
      <c r="F446" s="6" t="str">
        <f>IF(E446="","Unknown",E446)</f>
        <v>Mobile</v>
      </c>
      <c r="G446" s="6" t="s">
        <v>29</v>
      </c>
      <c r="H446" s="6" t="str">
        <f>IF(G446="","Unknown",G446)</f>
        <v>Organic</v>
      </c>
      <c r="I446" s="6" t="s">
        <v>34</v>
      </c>
      <c r="J446" s="6">
        <v>1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f>IF(O446&gt;0,1,0)</f>
        <v>0</v>
      </c>
      <c r="Q446" s="6">
        <v>0</v>
      </c>
      <c r="S446" s="6">
        <v>43.9</v>
      </c>
      <c r="T446" s="6">
        <f>IF(S446="",MEDIAN($S$2:$S$1409),S446)</f>
        <v>43.9</v>
      </c>
    </row>
    <row r="447" spans="1:20" ht="15" customHeight="1">
      <c r="A447" s="6" t="s">
        <v>481</v>
      </c>
      <c r="B447" s="7">
        <v>45746</v>
      </c>
      <c r="C447" s="6" t="s">
        <v>21</v>
      </c>
      <c r="D447" s="6" t="s">
        <v>22</v>
      </c>
      <c r="E447" s="6" t="s">
        <v>23</v>
      </c>
      <c r="F447" s="6" t="str">
        <f>IF(E447="","Unknown",E447)</f>
        <v>Desktop</v>
      </c>
      <c r="G447" s="6" t="s">
        <v>43</v>
      </c>
      <c r="H447" s="6" t="str">
        <f>IF(G447="","Unknown",G447)</f>
        <v>Referral</v>
      </c>
      <c r="I447" s="6" t="s">
        <v>30</v>
      </c>
      <c r="J447" s="6">
        <v>1</v>
      </c>
      <c r="K447" s="6">
        <v>1</v>
      </c>
      <c r="L447" s="6">
        <v>1</v>
      </c>
      <c r="M447" s="6">
        <v>0</v>
      </c>
      <c r="N447" s="6">
        <v>0</v>
      </c>
      <c r="O447" s="6">
        <v>1</v>
      </c>
      <c r="P447" s="6">
        <f>IF(O447&gt;0,1,0)</f>
        <v>1</v>
      </c>
      <c r="Q447" s="6">
        <v>0</v>
      </c>
      <c r="S447" s="6">
        <v>67.7</v>
      </c>
      <c r="T447" s="6">
        <f>IF(S447="",MEDIAN($S$2:$S$1409),S447)</f>
        <v>67.7</v>
      </c>
    </row>
    <row r="448" spans="1:20" ht="15" customHeight="1">
      <c r="A448" s="6" t="s">
        <v>482</v>
      </c>
      <c r="B448" s="7">
        <v>45675</v>
      </c>
      <c r="C448" s="6" t="s">
        <v>21</v>
      </c>
      <c r="D448" s="6" t="s">
        <v>32</v>
      </c>
      <c r="E448" s="6" t="s">
        <v>28</v>
      </c>
      <c r="F448" s="6" t="str">
        <f>IF(E448="","Unknown",E448)</f>
        <v>Mobile</v>
      </c>
      <c r="G448" s="6" t="s">
        <v>43</v>
      </c>
      <c r="H448" s="6" t="str">
        <f>IF(G448="","Unknown",G448)</f>
        <v>Referral</v>
      </c>
      <c r="I448" s="6" t="s">
        <v>25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f>IF(O448&gt;0,1,0)</f>
        <v>0</v>
      </c>
      <c r="Q448" s="6">
        <v>0</v>
      </c>
      <c r="S448" s="6">
        <v>43.7</v>
      </c>
      <c r="T448" s="6">
        <f>IF(S448="",MEDIAN($S$2:$S$1409),S448)</f>
        <v>43.7</v>
      </c>
    </row>
    <row r="449" spans="1:20" ht="15" customHeight="1">
      <c r="A449" s="6" t="s">
        <v>483</v>
      </c>
      <c r="B449" s="7">
        <v>45756</v>
      </c>
      <c r="C449" s="6" t="s">
        <v>21</v>
      </c>
      <c r="D449" s="6" t="s">
        <v>32</v>
      </c>
      <c r="E449" s="6" t="s">
        <v>28</v>
      </c>
      <c r="F449" s="6" t="str">
        <f>IF(E449="","Unknown",E449)</f>
        <v>Mobile</v>
      </c>
      <c r="G449" s="6" t="s">
        <v>29</v>
      </c>
      <c r="H449" s="6" t="str">
        <f>IF(G449="","Unknown",G449)</f>
        <v>Organic</v>
      </c>
      <c r="I449" s="6" t="s">
        <v>30</v>
      </c>
      <c r="J449" s="6">
        <v>1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f>IF(O449&gt;0,1,0)</f>
        <v>0</v>
      </c>
      <c r="Q449" s="6">
        <v>0</v>
      </c>
      <c r="S449" s="6">
        <v>68.8</v>
      </c>
      <c r="T449" s="6">
        <f>IF(S449="",MEDIAN($S$2:$S$1409),S449)</f>
        <v>68.8</v>
      </c>
    </row>
    <row r="450" spans="1:20" ht="15" customHeight="1">
      <c r="A450" s="6" t="s">
        <v>484</v>
      </c>
      <c r="B450" s="7">
        <v>45668</v>
      </c>
      <c r="C450" s="6" t="s">
        <v>21</v>
      </c>
      <c r="D450" s="6" t="s">
        <v>27</v>
      </c>
      <c r="E450" s="6" t="s">
        <v>28</v>
      </c>
      <c r="F450" s="6" t="str">
        <f>IF(E450="","Unknown",E450)</f>
        <v>Mobile</v>
      </c>
      <c r="G450" s="6" t="s">
        <v>29</v>
      </c>
      <c r="H450" s="6" t="str">
        <f>IF(G450="","Unknown",G450)</f>
        <v>Organic</v>
      </c>
      <c r="I450" s="6" t="s">
        <v>30</v>
      </c>
      <c r="J450" s="6">
        <v>1</v>
      </c>
      <c r="K450" s="6">
        <v>1</v>
      </c>
      <c r="L450" s="6">
        <v>1</v>
      </c>
      <c r="M450" s="6">
        <v>0</v>
      </c>
      <c r="N450" s="6">
        <v>0</v>
      </c>
      <c r="O450" s="6">
        <v>0</v>
      </c>
      <c r="P450" s="6">
        <f>IF(O450&gt;0,1,0)</f>
        <v>0</v>
      </c>
      <c r="Q450" s="6">
        <v>0</v>
      </c>
      <c r="S450" s="6">
        <v>59.2</v>
      </c>
      <c r="T450" s="6">
        <f>IF(S450="",MEDIAN($S$2:$S$1409),S450)</f>
        <v>59.2</v>
      </c>
    </row>
    <row r="451" spans="1:20" ht="15" customHeight="1">
      <c r="A451" s="6" t="s">
        <v>485</v>
      </c>
      <c r="B451" s="7">
        <v>45721</v>
      </c>
      <c r="C451" s="6" t="s">
        <v>21</v>
      </c>
      <c r="D451" s="6" t="s">
        <v>32</v>
      </c>
      <c r="E451" s="6" t="s">
        <v>28</v>
      </c>
      <c r="F451" s="6" t="str">
        <f>IF(E451="","Unknown",E451)</f>
        <v>Mobile</v>
      </c>
      <c r="G451" s="6" t="s">
        <v>33</v>
      </c>
      <c r="H451" s="6" t="str">
        <f>IF(G451="","Unknown",G451)</f>
        <v>Paid Search</v>
      </c>
      <c r="I451" s="6" t="s">
        <v>30</v>
      </c>
      <c r="J451" s="6">
        <v>1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f>IF(O451&gt;0,1,0)</f>
        <v>0</v>
      </c>
      <c r="Q451" s="6">
        <v>0</v>
      </c>
      <c r="S451" s="6">
        <v>48.6</v>
      </c>
      <c r="T451" s="6">
        <f>IF(S451="",MEDIAN($S$2:$S$1409),S451)</f>
        <v>48.6</v>
      </c>
    </row>
    <row r="452" spans="1:20" ht="15" customHeight="1">
      <c r="A452" s="6" t="s">
        <v>486</v>
      </c>
      <c r="B452" s="7">
        <v>45705</v>
      </c>
      <c r="C452" s="6" t="s">
        <v>21</v>
      </c>
      <c r="D452" s="6" t="s">
        <v>22</v>
      </c>
      <c r="E452" s="6" t="s">
        <v>38</v>
      </c>
      <c r="F452" s="6" t="str">
        <f>IF(E452="","Unknown",E452)</f>
        <v>Tablet</v>
      </c>
      <c r="G452" s="6" t="s">
        <v>45</v>
      </c>
      <c r="H452" s="6" t="str">
        <f>IF(G452="","Unknown",G452)</f>
        <v>Social</v>
      </c>
      <c r="I452" s="6" t="s">
        <v>30</v>
      </c>
      <c r="J452" s="6">
        <v>1</v>
      </c>
      <c r="K452" s="6">
        <v>1</v>
      </c>
      <c r="L452" s="6">
        <v>1</v>
      </c>
      <c r="M452" s="6">
        <v>0</v>
      </c>
      <c r="N452" s="6">
        <v>0</v>
      </c>
      <c r="O452" s="6">
        <v>0</v>
      </c>
      <c r="P452" s="6">
        <f>IF(O452&gt;0,1,0)</f>
        <v>0</v>
      </c>
      <c r="Q452" s="6">
        <v>0</v>
      </c>
      <c r="S452" s="6">
        <v>56.9</v>
      </c>
      <c r="T452" s="6">
        <f>IF(S452="",MEDIAN($S$2:$S$1409),S452)</f>
        <v>56.9</v>
      </c>
    </row>
    <row r="453" spans="1:20" ht="15" customHeight="1">
      <c r="A453" s="6" t="s">
        <v>487</v>
      </c>
      <c r="B453" s="7">
        <v>45784</v>
      </c>
      <c r="C453" s="6" t="s">
        <v>21</v>
      </c>
      <c r="D453" s="6" t="s">
        <v>22</v>
      </c>
      <c r="E453" s="6" t="s">
        <v>23</v>
      </c>
      <c r="F453" s="6" t="str">
        <f>IF(E453="","Unknown",E453)</f>
        <v>Desktop</v>
      </c>
      <c r="G453" s="6" t="s">
        <v>33</v>
      </c>
      <c r="H453" s="6" t="str">
        <f>IF(G453="","Unknown",G453)</f>
        <v>Paid Search</v>
      </c>
      <c r="I453" s="6" t="s">
        <v>30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f>IF(O453&gt;0,1,0)</f>
        <v>0</v>
      </c>
      <c r="Q453" s="6">
        <v>0</v>
      </c>
      <c r="S453" s="6">
        <v>55.8</v>
      </c>
      <c r="T453" s="6">
        <f>IF(S453="",MEDIAN($S$2:$S$1409),S453)</f>
        <v>55.8</v>
      </c>
    </row>
    <row r="454" spans="1:20" ht="15" customHeight="1">
      <c r="A454" s="6" t="s">
        <v>488</v>
      </c>
      <c r="B454" s="7">
        <v>45757</v>
      </c>
      <c r="C454" s="6" t="s">
        <v>21</v>
      </c>
      <c r="D454" s="6" t="s">
        <v>32</v>
      </c>
      <c r="E454" s="6" t="s">
        <v>28</v>
      </c>
      <c r="F454" s="6" t="str">
        <f>IF(E454="","Unknown",E454)</f>
        <v>Mobile</v>
      </c>
      <c r="G454" s="6" t="s">
        <v>33</v>
      </c>
      <c r="H454" s="6" t="str">
        <f>IF(G454="","Unknown",G454)</f>
        <v>Paid Search</v>
      </c>
      <c r="I454" s="6" t="s">
        <v>34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f>IF(O454&gt;0,1,0)</f>
        <v>0</v>
      </c>
      <c r="Q454" s="6">
        <v>0</v>
      </c>
      <c r="S454" s="6">
        <v>63.3</v>
      </c>
      <c r="T454" s="6">
        <f>IF(S454="",MEDIAN($S$2:$S$1409),S454)</f>
        <v>63.3</v>
      </c>
    </row>
    <row r="455" spans="1:20" ht="15" customHeight="1">
      <c r="A455" s="6" t="s">
        <v>489</v>
      </c>
      <c r="B455" s="7">
        <v>45768</v>
      </c>
      <c r="C455" s="6" t="s">
        <v>21</v>
      </c>
      <c r="D455" s="6" t="s">
        <v>22</v>
      </c>
      <c r="E455" s="6" t="s">
        <v>28</v>
      </c>
      <c r="F455" s="6" t="str">
        <f>IF(E455="","Unknown",E455)</f>
        <v>Mobile</v>
      </c>
      <c r="G455" s="6" t="s">
        <v>45</v>
      </c>
      <c r="H455" s="6" t="str">
        <f>IF(G455="","Unknown",G455)</f>
        <v>Social</v>
      </c>
      <c r="I455" s="6" t="s">
        <v>30</v>
      </c>
      <c r="J455" s="6">
        <v>1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f>IF(O455&gt;0,1,0)</f>
        <v>0</v>
      </c>
      <c r="Q455" s="6">
        <v>0</v>
      </c>
      <c r="S455" s="6">
        <v>52.2</v>
      </c>
      <c r="T455" s="6">
        <f>IF(S455="",MEDIAN($S$2:$S$1409),S455)</f>
        <v>52.2</v>
      </c>
    </row>
    <row r="456" spans="1:20" ht="15" customHeight="1">
      <c r="A456" s="6" t="s">
        <v>490</v>
      </c>
      <c r="B456" s="7">
        <v>45713</v>
      </c>
      <c r="C456" s="6" t="s">
        <v>21</v>
      </c>
      <c r="D456" s="6" t="s">
        <v>36</v>
      </c>
      <c r="E456" s="6" t="s">
        <v>38</v>
      </c>
      <c r="F456" s="6" t="str">
        <f>IF(E456="","Unknown",E456)</f>
        <v>Tablet</v>
      </c>
      <c r="G456" s="6"/>
      <c r="H456" s="6" t="str">
        <f>IF(G456="","Unknown",G456)</f>
        <v>Unknown</v>
      </c>
      <c r="I456" s="6" t="s">
        <v>30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f>IF(O456&gt;0,1,0)</f>
        <v>0</v>
      </c>
      <c r="Q456" s="6">
        <v>0</v>
      </c>
      <c r="S456" s="6">
        <v>51.5</v>
      </c>
      <c r="T456" s="6">
        <f>IF(S456="",MEDIAN($S$2:$S$1409),S456)</f>
        <v>51.5</v>
      </c>
    </row>
    <row r="457" spans="1:20" ht="15" customHeight="1">
      <c r="A457" s="6" t="s">
        <v>491</v>
      </c>
      <c r="B457" s="7">
        <v>45791</v>
      </c>
      <c r="C457" s="6" t="s">
        <v>21</v>
      </c>
      <c r="D457" s="6" t="s">
        <v>32</v>
      </c>
      <c r="E457" s="6" t="s">
        <v>23</v>
      </c>
      <c r="F457" s="6" t="str">
        <f>IF(E457="","Unknown",E457)</f>
        <v>Desktop</v>
      </c>
      <c r="G457" s="6" t="s">
        <v>29</v>
      </c>
      <c r="H457" s="6" t="str">
        <f>IF(G457="","Unknown",G457)</f>
        <v>Organic</v>
      </c>
      <c r="I457" s="6" t="s">
        <v>30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f>IF(O457&gt;0,1,0)</f>
        <v>0</v>
      </c>
      <c r="Q457" s="6">
        <v>0</v>
      </c>
      <c r="S457" s="6">
        <v>50.3</v>
      </c>
      <c r="T457" s="6">
        <f>IF(S457="",MEDIAN($S$2:$S$1409),S457)</f>
        <v>50.3</v>
      </c>
    </row>
    <row r="458" spans="1:20" ht="15" customHeight="1">
      <c r="A458" s="6" t="s">
        <v>492</v>
      </c>
      <c r="B458" s="7">
        <v>45726</v>
      </c>
      <c r="C458" s="6" t="s">
        <v>21</v>
      </c>
      <c r="D458" s="6" t="s">
        <v>22</v>
      </c>
      <c r="E458" s="6" t="s">
        <v>28</v>
      </c>
      <c r="F458" s="6" t="str">
        <f>IF(E458="","Unknown",E458)</f>
        <v>Mobile</v>
      </c>
      <c r="G458" s="6" t="s">
        <v>24</v>
      </c>
      <c r="H458" s="6" t="str">
        <f>IF(G458="","Unknown",G458)</f>
        <v>Email</v>
      </c>
      <c r="I458" s="6" t="s">
        <v>25</v>
      </c>
      <c r="J458" s="6">
        <v>1</v>
      </c>
      <c r="K458" s="6">
        <v>0</v>
      </c>
      <c r="L458" s="6">
        <v>0</v>
      </c>
      <c r="M458" s="6">
        <v>0</v>
      </c>
      <c r="N458" s="6">
        <v>0</v>
      </c>
      <c r="O458" s="6">
        <v>1</v>
      </c>
      <c r="P458" s="6">
        <f>IF(O458&gt;0,1,0)</f>
        <v>1</v>
      </c>
      <c r="Q458" s="6">
        <v>0</v>
      </c>
      <c r="S458" s="6">
        <v>35.4</v>
      </c>
      <c r="T458" s="6">
        <f>IF(S458="",MEDIAN($S$2:$S$1409),S458)</f>
        <v>35.4</v>
      </c>
    </row>
    <row r="459" spans="1:20" ht="15" customHeight="1">
      <c r="A459" s="6" t="s">
        <v>493</v>
      </c>
      <c r="B459" s="7">
        <v>45688</v>
      </c>
      <c r="C459" s="6" t="s">
        <v>21</v>
      </c>
      <c r="D459" s="6" t="s">
        <v>27</v>
      </c>
      <c r="E459" s="6" t="s">
        <v>23</v>
      </c>
      <c r="F459" s="6" t="str">
        <f>IF(E459="","Unknown",E459)</f>
        <v>Desktop</v>
      </c>
      <c r="G459" s="6" t="s">
        <v>29</v>
      </c>
      <c r="H459" s="6" t="str">
        <f>IF(G459="","Unknown",G459)</f>
        <v>Organic</v>
      </c>
      <c r="I459" s="6" t="s">
        <v>34</v>
      </c>
      <c r="J459" s="6">
        <v>1</v>
      </c>
      <c r="K459" s="6">
        <v>0</v>
      </c>
      <c r="L459" s="6">
        <v>0</v>
      </c>
      <c r="M459" s="6">
        <v>0</v>
      </c>
      <c r="N459" s="6">
        <v>0</v>
      </c>
      <c r="O459" s="6">
        <v>1</v>
      </c>
      <c r="P459" s="6">
        <f>IF(O459&gt;0,1,0)</f>
        <v>1</v>
      </c>
      <c r="Q459" s="6">
        <v>0</v>
      </c>
      <c r="S459" s="6">
        <v>54.1</v>
      </c>
      <c r="T459" s="6">
        <f>IF(S459="",MEDIAN($S$2:$S$1409),S459)</f>
        <v>54.1</v>
      </c>
    </row>
    <row r="460" spans="1:20" ht="15" customHeight="1">
      <c r="A460" s="6" t="s">
        <v>494</v>
      </c>
      <c r="B460" s="7">
        <v>45674</v>
      </c>
      <c r="C460" s="6" t="s">
        <v>21</v>
      </c>
      <c r="D460" s="6" t="s">
        <v>36</v>
      </c>
      <c r="E460" s="6" t="s">
        <v>28</v>
      </c>
      <c r="F460" s="6" t="str">
        <f>IF(E460="","Unknown",E460)</f>
        <v>Mobile</v>
      </c>
      <c r="G460" s="6" t="s">
        <v>29</v>
      </c>
      <c r="H460" s="6" t="str">
        <f>IF(G460="","Unknown",G460)</f>
        <v>Organic</v>
      </c>
      <c r="I460" s="6" t="s">
        <v>34</v>
      </c>
      <c r="J460" s="6">
        <v>1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f>IF(O460&gt;0,1,0)</f>
        <v>0</v>
      </c>
      <c r="Q460" s="6">
        <v>0</v>
      </c>
      <c r="S460" s="6">
        <v>56.2</v>
      </c>
      <c r="T460" s="6">
        <f>IF(S460="",MEDIAN($S$2:$S$1409),S460)</f>
        <v>56.2</v>
      </c>
    </row>
    <row r="461" spans="1:20" ht="15" customHeight="1">
      <c r="A461" s="6" t="s">
        <v>495</v>
      </c>
      <c r="B461" s="7">
        <v>45728</v>
      </c>
      <c r="C461" s="6" t="s">
        <v>21</v>
      </c>
      <c r="D461" s="6" t="s">
        <v>36</v>
      </c>
      <c r="E461" s="6" t="s">
        <v>28</v>
      </c>
      <c r="F461" s="6" t="str">
        <f>IF(E461="","Unknown",E461)</f>
        <v>Mobile</v>
      </c>
      <c r="G461" s="6" t="s">
        <v>33</v>
      </c>
      <c r="H461" s="6" t="str">
        <f>IF(G461="","Unknown",G461)</f>
        <v>Paid Search</v>
      </c>
      <c r="I461" s="6" t="s">
        <v>30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3</v>
      </c>
      <c r="P461" s="6">
        <f>IF(O461&gt;0,1,0)</f>
        <v>1</v>
      </c>
      <c r="Q461" s="6">
        <v>0</v>
      </c>
      <c r="S461" s="6">
        <v>43.7</v>
      </c>
      <c r="T461" s="6">
        <f>IF(S461="",MEDIAN($S$2:$S$1409),S461)</f>
        <v>43.7</v>
      </c>
    </row>
    <row r="462" spans="1:20" ht="15" customHeight="1">
      <c r="A462" s="6" t="s">
        <v>496</v>
      </c>
      <c r="B462" s="7">
        <v>45716</v>
      </c>
      <c r="C462" s="6" t="s">
        <v>21</v>
      </c>
      <c r="D462" s="6" t="s">
        <v>27</v>
      </c>
      <c r="E462" s="6" t="s">
        <v>23</v>
      </c>
      <c r="F462" s="6" t="str">
        <f>IF(E462="","Unknown",E462)</f>
        <v>Desktop</v>
      </c>
      <c r="G462" s="6" t="s">
        <v>29</v>
      </c>
      <c r="H462" s="6" t="str">
        <f>IF(G462="","Unknown",G462)</f>
        <v>Organic</v>
      </c>
      <c r="I462" s="6" t="s">
        <v>34</v>
      </c>
      <c r="J462" s="6">
        <v>1</v>
      </c>
      <c r="K462" s="6">
        <v>1</v>
      </c>
      <c r="L462" s="6">
        <v>0</v>
      </c>
      <c r="M462" s="6">
        <v>0</v>
      </c>
      <c r="N462" s="6">
        <v>0</v>
      </c>
      <c r="O462" s="6">
        <v>0</v>
      </c>
      <c r="P462" s="6">
        <f>IF(O462&gt;0,1,0)</f>
        <v>0</v>
      </c>
      <c r="Q462" s="6">
        <v>0</v>
      </c>
      <c r="S462" s="6">
        <v>51.3</v>
      </c>
      <c r="T462" s="6">
        <f>IF(S462="",MEDIAN($S$2:$S$1409),S462)</f>
        <v>51.3</v>
      </c>
    </row>
    <row r="463" spans="1:20" ht="15" customHeight="1">
      <c r="A463" s="6" t="s">
        <v>497</v>
      </c>
      <c r="B463" s="7">
        <v>45796</v>
      </c>
      <c r="C463" s="6" t="s">
        <v>21</v>
      </c>
      <c r="D463" s="6" t="s">
        <v>22</v>
      </c>
      <c r="E463" s="6"/>
      <c r="F463" s="6" t="str">
        <f>IF(E463="","Unknown",E463)</f>
        <v>Unknown</v>
      </c>
      <c r="G463" s="6" t="s">
        <v>29</v>
      </c>
      <c r="H463" s="6" t="str">
        <f>IF(G463="","Unknown",G463)</f>
        <v>Organic</v>
      </c>
      <c r="I463" s="6" t="s">
        <v>25</v>
      </c>
      <c r="J463" s="6">
        <v>1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f>IF(O463&gt;0,1,0)</f>
        <v>0</v>
      </c>
      <c r="Q463" s="6">
        <v>0</v>
      </c>
      <c r="S463" s="6">
        <v>50.5</v>
      </c>
      <c r="T463" s="6">
        <f>IF(S463="",MEDIAN($S$2:$S$1409),S463)</f>
        <v>50.5</v>
      </c>
    </row>
    <row r="464" spans="1:20" ht="15" customHeight="1">
      <c r="A464" s="6" t="s">
        <v>498</v>
      </c>
      <c r="B464" s="7">
        <v>45711</v>
      </c>
      <c r="C464" s="6" t="s">
        <v>21</v>
      </c>
      <c r="D464" s="6" t="s">
        <v>22</v>
      </c>
      <c r="E464" s="6" t="s">
        <v>28</v>
      </c>
      <c r="F464" s="6" t="str">
        <f>IF(E464="","Unknown",E464)</f>
        <v>Mobile</v>
      </c>
      <c r="G464" s="6" t="s">
        <v>43</v>
      </c>
      <c r="H464" s="6" t="str">
        <f>IF(G464="","Unknown",G464)</f>
        <v>Referral</v>
      </c>
      <c r="I464" s="6" t="s">
        <v>25</v>
      </c>
      <c r="J464" s="6">
        <v>1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f>IF(O464&gt;0,1,0)</f>
        <v>0</v>
      </c>
      <c r="Q464" s="6">
        <v>0</v>
      </c>
      <c r="S464" s="6">
        <v>57.3</v>
      </c>
      <c r="T464" s="6">
        <f>IF(S464="",MEDIAN($S$2:$S$1409),S464)</f>
        <v>57.3</v>
      </c>
    </row>
    <row r="465" spans="1:20" ht="15" customHeight="1">
      <c r="A465" s="6" t="s">
        <v>499</v>
      </c>
      <c r="B465" s="7">
        <v>45708</v>
      </c>
      <c r="C465" s="6" t="s">
        <v>21</v>
      </c>
      <c r="D465" s="6" t="s">
        <v>27</v>
      </c>
      <c r="E465" s="6" t="s">
        <v>23</v>
      </c>
      <c r="F465" s="6" t="str">
        <f>IF(E465="","Unknown",E465)</f>
        <v>Desktop</v>
      </c>
      <c r="G465" s="6" t="s">
        <v>29</v>
      </c>
      <c r="H465" s="6" t="str">
        <f>IF(G465="","Unknown",G465)</f>
        <v>Organic</v>
      </c>
      <c r="I465" s="6" t="s">
        <v>30</v>
      </c>
      <c r="J465" s="6">
        <v>1</v>
      </c>
      <c r="K465" s="6">
        <v>1</v>
      </c>
      <c r="L465" s="6">
        <v>1</v>
      </c>
      <c r="M465" s="6">
        <v>0</v>
      </c>
      <c r="N465" s="6">
        <v>0</v>
      </c>
      <c r="O465" s="6">
        <v>0</v>
      </c>
      <c r="P465" s="6">
        <f>IF(O465&gt;0,1,0)</f>
        <v>0</v>
      </c>
      <c r="Q465" s="6">
        <v>0</v>
      </c>
      <c r="S465" s="6">
        <v>58.4</v>
      </c>
      <c r="T465" s="6">
        <f>IF(S465="",MEDIAN($S$2:$S$1409),S465)</f>
        <v>58.4</v>
      </c>
    </row>
    <row r="466" spans="1:20" ht="15" customHeight="1">
      <c r="A466" s="6" t="s">
        <v>500</v>
      </c>
      <c r="B466" s="7">
        <v>45759</v>
      </c>
      <c r="C466" s="6" t="s">
        <v>21</v>
      </c>
      <c r="D466" s="6" t="s">
        <v>22</v>
      </c>
      <c r="E466" s="6" t="s">
        <v>28</v>
      </c>
      <c r="F466" s="6" t="str">
        <f>IF(E466="","Unknown",E466)</f>
        <v>Mobile</v>
      </c>
      <c r="G466" s="6"/>
      <c r="H466" s="6" t="str">
        <f>IF(G466="","Unknown",G466)</f>
        <v>Unknown</v>
      </c>
      <c r="I466" s="6" t="s">
        <v>30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f>IF(O466&gt;0,1,0)</f>
        <v>0</v>
      </c>
      <c r="Q466" s="6">
        <v>0</v>
      </c>
      <c r="S466" s="6">
        <v>56.5</v>
      </c>
      <c r="T466" s="6">
        <f>IF(S466="",MEDIAN($S$2:$S$1409),S466)</f>
        <v>56.5</v>
      </c>
    </row>
    <row r="467" spans="1:20" ht="15" customHeight="1">
      <c r="A467" s="6" t="s">
        <v>501</v>
      </c>
      <c r="B467" s="7">
        <v>45665</v>
      </c>
      <c r="C467" s="6" t="s">
        <v>21</v>
      </c>
      <c r="D467" s="6" t="s">
        <v>27</v>
      </c>
      <c r="E467" s="6" t="s">
        <v>28</v>
      </c>
      <c r="F467" s="6" t="str">
        <f>IF(E467="","Unknown",E467)</f>
        <v>Mobile</v>
      </c>
      <c r="G467" s="6" t="s">
        <v>24</v>
      </c>
      <c r="H467" s="6" t="str">
        <f>IF(G467="","Unknown",G467)</f>
        <v>Email</v>
      </c>
      <c r="I467" s="6" t="s">
        <v>30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f>IF(O467&gt;0,1,0)</f>
        <v>0</v>
      </c>
      <c r="Q467" s="6">
        <v>0</v>
      </c>
      <c r="S467" s="6">
        <v>69.599999999999994</v>
      </c>
      <c r="T467" s="6">
        <f>IF(S467="",MEDIAN($S$2:$S$1409),S467)</f>
        <v>69.599999999999994</v>
      </c>
    </row>
    <row r="468" spans="1:20" ht="15" customHeight="1">
      <c r="A468" s="6" t="s">
        <v>502</v>
      </c>
      <c r="B468" s="7">
        <v>45701</v>
      </c>
      <c r="C468" s="6" t="s">
        <v>21</v>
      </c>
      <c r="D468" s="6" t="s">
        <v>27</v>
      </c>
      <c r="E468" s="6" t="s">
        <v>28</v>
      </c>
      <c r="F468" s="6" t="str">
        <f>IF(E468="","Unknown",E468)</f>
        <v>Mobile</v>
      </c>
      <c r="G468" s="6" t="s">
        <v>29</v>
      </c>
      <c r="H468" s="6" t="str">
        <f>IF(G468="","Unknown",G468)</f>
        <v>Organic</v>
      </c>
      <c r="I468" s="6" t="s">
        <v>25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f>IF(O468&gt;0,1,0)</f>
        <v>0</v>
      </c>
      <c r="Q468" s="6">
        <v>0</v>
      </c>
      <c r="S468" s="6">
        <v>6.2</v>
      </c>
      <c r="T468" s="6">
        <f>IF(S468="",MEDIAN($S$2:$S$1409),S468)</f>
        <v>6.2</v>
      </c>
    </row>
    <row r="469" spans="1:20" ht="15" customHeight="1">
      <c r="A469" s="6" t="s">
        <v>503</v>
      </c>
      <c r="B469" s="7">
        <v>45798</v>
      </c>
      <c r="C469" s="6" t="s">
        <v>21</v>
      </c>
      <c r="D469" s="6" t="s">
        <v>32</v>
      </c>
      <c r="E469" s="6" t="s">
        <v>23</v>
      </c>
      <c r="F469" s="6" t="str">
        <f>IF(E469="","Unknown",E469)</f>
        <v>Desktop</v>
      </c>
      <c r="G469" s="6" t="s">
        <v>24</v>
      </c>
      <c r="H469" s="6" t="str">
        <f>IF(G469="","Unknown",G469)</f>
        <v>Email</v>
      </c>
      <c r="I469" s="6" t="s">
        <v>30</v>
      </c>
      <c r="J469" s="6">
        <v>1</v>
      </c>
      <c r="K469" s="6">
        <v>1</v>
      </c>
      <c r="L469" s="6">
        <v>1</v>
      </c>
      <c r="M469" s="6">
        <v>0</v>
      </c>
      <c r="N469" s="6">
        <v>0</v>
      </c>
      <c r="O469" s="6">
        <v>0</v>
      </c>
      <c r="P469" s="6">
        <f>IF(O469&gt;0,1,0)</f>
        <v>0</v>
      </c>
      <c r="Q469" s="6">
        <v>0</v>
      </c>
      <c r="S469" s="6">
        <v>54.3</v>
      </c>
      <c r="T469" s="6">
        <f>IF(S469="",MEDIAN($S$2:$S$1409),S469)</f>
        <v>54.3</v>
      </c>
    </row>
    <row r="470" spans="1:20" ht="15" customHeight="1">
      <c r="A470" s="6" t="s">
        <v>504</v>
      </c>
      <c r="B470" s="7">
        <v>45807</v>
      </c>
      <c r="C470" s="6" t="s">
        <v>21</v>
      </c>
      <c r="D470" s="6" t="s">
        <v>22</v>
      </c>
      <c r="E470" s="6" t="s">
        <v>28</v>
      </c>
      <c r="F470" s="6" t="str">
        <f>IF(E470="","Unknown",E470)</f>
        <v>Mobile</v>
      </c>
      <c r="G470" s="6" t="s">
        <v>29</v>
      </c>
      <c r="H470" s="6" t="str">
        <f>IF(G470="","Unknown",G470)</f>
        <v>Organic</v>
      </c>
      <c r="I470" s="6" t="s">
        <v>25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f>IF(O470&gt;0,1,0)</f>
        <v>0</v>
      </c>
      <c r="Q470" s="6">
        <v>0</v>
      </c>
      <c r="S470" s="6">
        <v>59.8</v>
      </c>
      <c r="T470" s="6">
        <f>IF(S470="",MEDIAN($S$2:$S$1409),S470)</f>
        <v>59.8</v>
      </c>
    </row>
    <row r="471" spans="1:20" ht="15" customHeight="1">
      <c r="A471" s="6" t="s">
        <v>505</v>
      </c>
      <c r="B471" s="7">
        <v>45797</v>
      </c>
      <c r="C471" s="6" t="s">
        <v>21</v>
      </c>
      <c r="D471" s="6" t="s">
        <v>27</v>
      </c>
      <c r="E471" s="6" t="s">
        <v>28</v>
      </c>
      <c r="F471" s="6" t="str">
        <f>IF(E471="","Unknown",E471)</f>
        <v>Mobile</v>
      </c>
      <c r="G471" s="6" t="s">
        <v>33</v>
      </c>
      <c r="H471" s="6" t="str">
        <f>IF(G471="","Unknown",G471)</f>
        <v>Paid Search</v>
      </c>
      <c r="I471" s="6" t="s">
        <v>30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f>IF(O471&gt;0,1,0)</f>
        <v>0</v>
      </c>
      <c r="Q471" s="6">
        <v>0</v>
      </c>
      <c r="S471" s="6">
        <v>58.9</v>
      </c>
      <c r="T471" s="6">
        <f>IF(S471="",MEDIAN($S$2:$S$1409),S471)</f>
        <v>58.9</v>
      </c>
    </row>
    <row r="472" spans="1:20" ht="15" customHeight="1">
      <c r="A472" s="6" t="s">
        <v>506</v>
      </c>
      <c r="B472" s="7">
        <v>45666</v>
      </c>
      <c r="C472" s="6" t="s">
        <v>21</v>
      </c>
      <c r="D472" s="6" t="s">
        <v>32</v>
      </c>
      <c r="E472" s="6" t="s">
        <v>23</v>
      </c>
      <c r="F472" s="6" t="str">
        <f>IF(E472="","Unknown",E472)</f>
        <v>Desktop</v>
      </c>
      <c r="G472" s="6" t="s">
        <v>29</v>
      </c>
      <c r="H472" s="6" t="str">
        <f>IF(G472="","Unknown",G472)</f>
        <v>Organic</v>
      </c>
      <c r="I472" s="6" t="s">
        <v>30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1</v>
      </c>
      <c r="P472" s="6">
        <f>IF(O472&gt;0,1,0)</f>
        <v>1</v>
      </c>
      <c r="Q472" s="6">
        <v>0</v>
      </c>
      <c r="S472" s="6">
        <v>52.9</v>
      </c>
      <c r="T472" s="6">
        <f>IF(S472="",MEDIAN($S$2:$S$1409),S472)</f>
        <v>52.9</v>
      </c>
    </row>
    <row r="473" spans="1:20" ht="15" customHeight="1">
      <c r="A473" s="6" t="s">
        <v>507</v>
      </c>
      <c r="B473" s="7">
        <v>45723</v>
      </c>
      <c r="C473" s="6" t="s">
        <v>21</v>
      </c>
      <c r="D473" s="6" t="s">
        <v>27</v>
      </c>
      <c r="E473" s="6" t="s">
        <v>28</v>
      </c>
      <c r="F473" s="6" t="str">
        <f>IF(E473="","Unknown",E473)</f>
        <v>Mobile</v>
      </c>
      <c r="G473" s="6" t="s">
        <v>29</v>
      </c>
      <c r="H473" s="6" t="str">
        <f>IF(G473="","Unknown",G473)</f>
        <v>Organic</v>
      </c>
      <c r="I473" s="6" t="s">
        <v>30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f>IF(O473&gt;0,1,0)</f>
        <v>0</v>
      </c>
      <c r="Q473" s="6">
        <v>0</v>
      </c>
      <c r="S473" s="6">
        <v>67.8</v>
      </c>
      <c r="T473" s="6">
        <f>IF(S473="",MEDIAN($S$2:$S$1409),S473)</f>
        <v>67.8</v>
      </c>
    </row>
    <row r="474" spans="1:20" ht="15" customHeight="1">
      <c r="A474" s="6" t="s">
        <v>508</v>
      </c>
      <c r="B474" s="7">
        <v>45770</v>
      </c>
      <c r="C474" s="6" t="s">
        <v>21</v>
      </c>
      <c r="D474" s="6" t="s">
        <v>36</v>
      </c>
      <c r="E474" s="6" t="s">
        <v>28</v>
      </c>
      <c r="F474" s="6" t="str">
        <f>IF(E474="","Unknown",E474)</f>
        <v>Mobile</v>
      </c>
      <c r="G474" s="6" t="s">
        <v>45</v>
      </c>
      <c r="H474" s="6" t="str">
        <f>IF(G474="","Unknown",G474)</f>
        <v>Social</v>
      </c>
      <c r="I474" s="6" t="s">
        <v>30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f>IF(O474&gt;0,1,0)</f>
        <v>0</v>
      </c>
      <c r="Q474" s="6">
        <v>0</v>
      </c>
      <c r="S474" s="6">
        <v>48.7</v>
      </c>
      <c r="T474" s="6">
        <f>IF(S474="",MEDIAN($S$2:$S$1409),S474)</f>
        <v>48.7</v>
      </c>
    </row>
    <row r="475" spans="1:20" ht="15" customHeight="1">
      <c r="A475" s="6" t="s">
        <v>509</v>
      </c>
      <c r="B475" s="7">
        <v>45724</v>
      </c>
      <c r="C475" s="6" t="s">
        <v>21</v>
      </c>
      <c r="D475" s="6" t="s">
        <v>32</v>
      </c>
      <c r="E475" s="6" t="s">
        <v>28</v>
      </c>
      <c r="F475" s="6" t="str">
        <f>IF(E475="","Unknown",E475)</f>
        <v>Mobile</v>
      </c>
      <c r="G475" s="6" t="s">
        <v>29</v>
      </c>
      <c r="H475" s="6" t="str">
        <f>IF(G475="","Unknown",G475)</f>
        <v>Organic</v>
      </c>
      <c r="I475" s="6" t="s">
        <v>25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f>IF(O475&gt;0,1,0)</f>
        <v>0</v>
      </c>
      <c r="Q475" s="6">
        <v>0</v>
      </c>
      <c r="S475" s="6">
        <v>59</v>
      </c>
      <c r="T475" s="6">
        <f>IF(S475="",MEDIAN($S$2:$S$1409),S475)</f>
        <v>59</v>
      </c>
    </row>
    <row r="476" spans="1:20" ht="15" customHeight="1">
      <c r="A476" s="6" t="s">
        <v>510</v>
      </c>
      <c r="B476" s="7">
        <v>45702</v>
      </c>
      <c r="C476" s="6" t="s">
        <v>21</v>
      </c>
      <c r="D476" s="6" t="s">
        <v>36</v>
      </c>
      <c r="E476" s="6" t="s">
        <v>28</v>
      </c>
      <c r="F476" s="6" t="str">
        <f>IF(E476="","Unknown",E476)</f>
        <v>Mobile</v>
      </c>
      <c r="G476" s="6" t="s">
        <v>43</v>
      </c>
      <c r="H476" s="6" t="str">
        <f>IF(G476="","Unknown",G476)</f>
        <v>Referral</v>
      </c>
      <c r="I476" s="6" t="s">
        <v>30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f>IF(O476&gt;0,1,0)</f>
        <v>0</v>
      </c>
      <c r="Q476" s="6">
        <v>0</v>
      </c>
      <c r="S476" s="6">
        <v>63.2</v>
      </c>
      <c r="T476" s="6">
        <f>IF(S476="",MEDIAN($S$2:$S$1409),S476)</f>
        <v>63.2</v>
      </c>
    </row>
    <row r="477" spans="1:20" ht="15" customHeight="1">
      <c r="A477" s="6" t="s">
        <v>511</v>
      </c>
      <c r="B477" s="7">
        <v>45794</v>
      </c>
      <c r="C477" s="6" t="s">
        <v>21</v>
      </c>
      <c r="D477" s="6" t="s">
        <v>27</v>
      </c>
      <c r="E477" s="6" t="s">
        <v>28</v>
      </c>
      <c r="F477" s="6" t="str">
        <f>IF(E477="","Unknown",E477)</f>
        <v>Mobile</v>
      </c>
      <c r="G477" s="6" t="s">
        <v>43</v>
      </c>
      <c r="H477" s="6" t="str">
        <f>IF(G477="","Unknown",G477)</f>
        <v>Referral</v>
      </c>
      <c r="I477" s="6" t="s">
        <v>25</v>
      </c>
      <c r="J477" s="6">
        <v>1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f>IF(O477&gt;0,1,0)</f>
        <v>0</v>
      </c>
      <c r="Q477" s="6">
        <v>0</v>
      </c>
      <c r="S477" s="6">
        <v>68.7</v>
      </c>
      <c r="T477" s="6">
        <f>IF(S477="",MEDIAN($S$2:$S$1409),S477)</f>
        <v>68.7</v>
      </c>
    </row>
    <row r="478" spans="1:20" ht="15" customHeight="1">
      <c r="A478" s="6" t="s">
        <v>512</v>
      </c>
      <c r="B478" s="7">
        <v>45772</v>
      </c>
      <c r="C478" s="6" t="s">
        <v>21</v>
      </c>
      <c r="D478" s="6" t="s">
        <v>36</v>
      </c>
      <c r="E478" s="6" t="s">
        <v>28</v>
      </c>
      <c r="F478" s="6" t="str">
        <f>IF(E478="","Unknown",E478)</f>
        <v>Mobile</v>
      </c>
      <c r="G478" s="6" t="s">
        <v>43</v>
      </c>
      <c r="H478" s="6" t="str">
        <f>IF(G478="","Unknown",G478)</f>
        <v>Referral</v>
      </c>
      <c r="I478" s="6" t="s">
        <v>30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f>IF(O478&gt;0,1,0)</f>
        <v>0</v>
      </c>
      <c r="Q478" s="6">
        <v>0</v>
      </c>
      <c r="S478" s="6">
        <v>52.1</v>
      </c>
      <c r="T478" s="6">
        <f>IF(S478="",MEDIAN($S$2:$S$1409),S478)</f>
        <v>52.1</v>
      </c>
    </row>
    <row r="479" spans="1:20" ht="15" customHeight="1">
      <c r="A479" s="6" t="s">
        <v>513</v>
      </c>
      <c r="B479" s="7">
        <v>45720</v>
      </c>
      <c r="C479" s="6" t="s">
        <v>21</v>
      </c>
      <c r="D479" s="6" t="s">
        <v>36</v>
      </c>
      <c r="E479" s="6" t="s">
        <v>23</v>
      </c>
      <c r="F479" s="6" t="str">
        <f>IF(E479="","Unknown",E479)</f>
        <v>Desktop</v>
      </c>
      <c r="G479" s="6" t="s">
        <v>45</v>
      </c>
      <c r="H479" s="6" t="str">
        <f>IF(G479="","Unknown",G479)</f>
        <v>Social</v>
      </c>
      <c r="I479" s="6" t="s">
        <v>25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f>IF(O479&gt;0,1,0)</f>
        <v>0</v>
      </c>
      <c r="Q479" s="6">
        <v>0</v>
      </c>
      <c r="S479" s="6">
        <v>56.5</v>
      </c>
      <c r="T479" s="6">
        <f>IF(S479="",MEDIAN($S$2:$S$1409),S479)</f>
        <v>56.5</v>
      </c>
    </row>
    <row r="480" spans="1:20" ht="15" customHeight="1">
      <c r="A480" s="6" t="s">
        <v>514</v>
      </c>
      <c r="B480" s="7">
        <v>45734</v>
      </c>
      <c r="C480" s="6" t="s">
        <v>21</v>
      </c>
      <c r="D480" s="6" t="s">
        <v>36</v>
      </c>
      <c r="E480" s="6" t="s">
        <v>28</v>
      </c>
      <c r="F480" s="6" t="str">
        <f>IF(E480="","Unknown",E480)</f>
        <v>Mobile</v>
      </c>
      <c r="G480" s="6" t="s">
        <v>29</v>
      </c>
      <c r="H480" s="6" t="str">
        <f>IF(G480="","Unknown",G480)</f>
        <v>Organic</v>
      </c>
      <c r="I480" s="6" t="s">
        <v>30</v>
      </c>
      <c r="J480" s="6">
        <v>1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f>IF(O480&gt;0,1,0)</f>
        <v>0</v>
      </c>
      <c r="Q480" s="6">
        <v>0</v>
      </c>
      <c r="S480" s="6">
        <v>64.400000000000006</v>
      </c>
      <c r="T480" s="6">
        <f>IF(S480="",MEDIAN($S$2:$S$1409),S480)</f>
        <v>64.400000000000006</v>
      </c>
    </row>
    <row r="481" spans="1:20" ht="15" customHeight="1">
      <c r="A481" s="6" t="s">
        <v>515</v>
      </c>
      <c r="B481" s="7">
        <v>45687</v>
      </c>
      <c r="C481" s="6" t="s">
        <v>21</v>
      </c>
      <c r="D481" s="6" t="s">
        <v>27</v>
      </c>
      <c r="E481" s="6" t="s">
        <v>28</v>
      </c>
      <c r="F481" s="6" t="str">
        <f>IF(E481="","Unknown",E481)</f>
        <v>Mobile</v>
      </c>
      <c r="G481" s="6" t="s">
        <v>33</v>
      </c>
      <c r="H481" s="6" t="str">
        <f>IF(G481="","Unknown",G481)</f>
        <v>Paid Search</v>
      </c>
      <c r="I481" s="6" t="s">
        <v>34</v>
      </c>
      <c r="J481" s="6">
        <v>1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f>IF(O481&gt;0,1,0)</f>
        <v>0</v>
      </c>
      <c r="Q481" s="6">
        <v>0</v>
      </c>
      <c r="S481" s="6">
        <v>65.900000000000006</v>
      </c>
      <c r="T481" s="6">
        <f>IF(S481="",MEDIAN($S$2:$S$1409),S481)</f>
        <v>65.900000000000006</v>
      </c>
    </row>
    <row r="482" spans="1:20" ht="15" customHeight="1">
      <c r="A482" s="6" t="s">
        <v>516</v>
      </c>
      <c r="B482" s="7">
        <v>45797</v>
      </c>
      <c r="C482" s="6" t="s">
        <v>21</v>
      </c>
      <c r="D482" s="6" t="s">
        <v>27</v>
      </c>
      <c r="E482" s="6" t="s">
        <v>38</v>
      </c>
      <c r="F482" s="6" t="str">
        <f>IF(E482="","Unknown",E482)</f>
        <v>Tablet</v>
      </c>
      <c r="G482" s="6" t="s">
        <v>43</v>
      </c>
      <c r="H482" s="6" t="str">
        <f>IF(G482="","Unknown",G482)</f>
        <v>Referral</v>
      </c>
      <c r="I482" s="6" t="s">
        <v>30</v>
      </c>
      <c r="J482" s="6">
        <v>1</v>
      </c>
      <c r="K482" s="6">
        <v>1</v>
      </c>
      <c r="L482" s="6">
        <v>1</v>
      </c>
      <c r="M482" s="6">
        <v>0</v>
      </c>
      <c r="N482" s="6">
        <v>0</v>
      </c>
      <c r="O482" s="6">
        <v>0</v>
      </c>
      <c r="P482" s="6">
        <f>IF(O482&gt;0,1,0)</f>
        <v>0</v>
      </c>
      <c r="Q482" s="6">
        <v>0</v>
      </c>
      <c r="S482" s="6">
        <v>100</v>
      </c>
      <c r="T482" s="6">
        <f>IF(S482="",MEDIAN($S$2:$S$1409),S482)</f>
        <v>100</v>
      </c>
    </row>
    <row r="483" spans="1:20" ht="15" customHeight="1">
      <c r="A483" s="6" t="s">
        <v>517</v>
      </c>
      <c r="B483" s="7">
        <v>45701</v>
      </c>
      <c r="C483" s="6" t="s">
        <v>21</v>
      </c>
      <c r="D483" s="6" t="s">
        <v>22</v>
      </c>
      <c r="E483" s="6"/>
      <c r="F483" s="6" t="str">
        <f>IF(E483="","Unknown",E483)</f>
        <v>Unknown</v>
      </c>
      <c r="G483" s="6" t="s">
        <v>29</v>
      </c>
      <c r="H483" s="6" t="str">
        <f>IF(G483="","Unknown",G483)</f>
        <v>Organic</v>
      </c>
      <c r="I483" s="6" t="s">
        <v>25</v>
      </c>
      <c r="J483" s="6">
        <v>1</v>
      </c>
      <c r="K483" s="6">
        <v>1</v>
      </c>
      <c r="L483" s="6">
        <v>1</v>
      </c>
      <c r="M483" s="6">
        <v>0</v>
      </c>
      <c r="N483" s="6">
        <v>0</v>
      </c>
      <c r="O483" s="6">
        <v>0</v>
      </c>
      <c r="P483" s="6">
        <f>IF(O483&gt;0,1,0)</f>
        <v>0</v>
      </c>
      <c r="Q483" s="6">
        <v>0</v>
      </c>
      <c r="S483" s="6">
        <v>50.4</v>
      </c>
      <c r="T483" s="6">
        <f>IF(S483="",MEDIAN($S$2:$S$1409),S483)</f>
        <v>50.4</v>
      </c>
    </row>
    <row r="484" spans="1:20" ht="15" customHeight="1">
      <c r="A484" s="6" t="s">
        <v>518</v>
      </c>
      <c r="B484" s="7">
        <v>45759</v>
      </c>
      <c r="C484" s="6" t="s">
        <v>21</v>
      </c>
      <c r="D484" s="6" t="s">
        <v>27</v>
      </c>
      <c r="E484" s="6" t="s">
        <v>23</v>
      </c>
      <c r="F484" s="6" t="str">
        <f>IF(E484="","Unknown",E484)</f>
        <v>Desktop</v>
      </c>
      <c r="G484" s="6" t="s">
        <v>29</v>
      </c>
      <c r="H484" s="6" t="str">
        <f>IF(G484="","Unknown",G484)</f>
        <v>Organic</v>
      </c>
      <c r="I484" s="6" t="s">
        <v>25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f>IF(O484&gt;0,1,0)</f>
        <v>0</v>
      </c>
      <c r="Q484" s="6">
        <v>0</v>
      </c>
      <c r="S484" s="6">
        <v>41.5</v>
      </c>
      <c r="T484" s="6">
        <f>IF(S484="",MEDIAN($S$2:$S$1409),S484)</f>
        <v>41.5</v>
      </c>
    </row>
    <row r="485" spans="1:20" ht="15" customHeight="1">
      <c r="A485" s="6" t="s">
        <v>519</v>
      </c>
      <c r="B485" s="7">
        <v>45754</v>
      </c>
      <c r="C485" s="6" t="s">
        <v>21</v>
      </c>
      <c r="D485" s="6" t="s">
        <v>22</v>
      </c>
      <c r="E485" s="6" t="s">
        <v>28</v>
      </c>
      <c r="F485" s="6" t="str">
        <f>IF(E485="","Unknown",E485)</f>
        <v>Mobile</v>
      </c>
      <c r="G485" s="6" t="s">
        <v>24</v>
      </c>
      <c r="H485" s="6" t="str">
        <f>IF(G485="","Unknown",G485)</f>
        <v>Email</v>
      </c>
      <c r="I485" s="6" t="s">
        <v>30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f>IF(O485&gt;0,1,0)</f>
        <v>0</v>
      </c>
      <c r="Q485" s="6">
        <v>0</v>
      </c>
      <c r="S485" s="6">
        <v>86.2</v>
      </c>
      <c r="T485" s="6">
        <f>IF(S485="",MEDIAN($S$2:$S$1409),S485)</f>
        <v>86.2</v>
      </c>
    </row>
    <row r="486" spans="1:20" ht="15" customHeight="1">
      <c r="A486" s="6" t="s">
        <v>520</v>
      </c>
      <c r="B486" s="7">
        <v>45728</v>
      </c>
      <c r="C486" s="6" t="s">
        <v>21</v>
      </c>
      <c r="D486" s="6" t="s">
        <v>22</v>
      </c>
      <c r="E486" s="6" t="s">
        <v>23</v>
      </c>
      <c r="F486" s="6" t="str">
        <f>IF(E486="","Unknown",E486)</f>
        <v>Desktop</v>
      </c>
      <c r="G486" s="6" t="s">
        <v>45</v>
      </c>
      <c r="H486" s="6" t="str">
        <f>IF(G486="","Unknown",G486)</f>
        <v>Social</v>
      </c>
      <c r="I486" s="6" t="s">
        <v>30</v>
      </c>
      <c r="J486" s="6">
        <v>1</v>
      </c>
      <c r="K486" s="6">
        <v>1</v>
      </c>
      <c r="L486" s="6">
        <v>1</v>
      </c>
      <c r="M486" s="6">
        <v>0</v>
      </c>
      <c r="N486" s="6">
        <v>0</v>
      </c>
      <c r="O486" s="6">
        <v>2</v>
      </c>
      <c r="P486" s="6">
        <f>IF(O486&gt;0,1,0)</f>
        <v>1</v>
      </c>
      <c r="Q486" s="6">
        <v>0</v>
      </c>
      <c r="S486" s="6">
        <v>50.8</v>
      </c>
      <c r="T486" s="6">
        <f>IF(S486="",MEDIAN($S$2:$S$1409),S486)</f>
        <v>50.8</v>
      </c>
    </row>
    <row r="487" spans="1:20" ht="15" customHeight="1">
      <c r="A487" s="6" t="s">
        <v>521</v>
      </c>
      <c r="B487" s="7">
        <v>45695</v>
      </c>
      <c r="C487" s="6" t="s">
        <v>21</v>
      </c>
      <c r="D487" s="6" t="s">
        <v>27</v>
      </c>
      <c r="E487" s="6" t="s">
        <v>28</v>
      </c>
      <c r="F487" s="6" t="str">
        <f>IF(E487="","Unknown",E487)</f>
        <v>Mobile</v>
      </c>
      <c r="G487" s="6" t="s">
        <v>29</v>
      </c>
      <c r="H487" s="6" t="str">
        <f>IF(G487="","Unknown",G487)</f>
        <v>Organic</v>
      </c>
      <c r="I487" s="6" t="s">
        <v>30</v>
      </c>
      <c r="J487" s="6">
        <v>1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f>IF(O487&gt;0,1,0)</f>
        <v>0</v>
      </c>
      <c r="Q487" s="6">
        <v>0</v>
      </c>
      <c r="S487" s="6">
        <v>50.9</v>
      </c>
      <c r="T487" s="6">
        <f>IF(S487="",MEDIAN($S$2:$S$1409),S487)</f>
        <v>50.9</v>
      </c>
    </row>
    <row r="488" spans="1:20" ht="15" customHeight="1">
      <c r="A488" s="6" t="s">
        <v>522</v>
      </c>
      <c r="B488" s="7">
        <v>45782</v>
      </c>
      <c r="C488" s="6" t="s">
        <v>21</v>
      </c>
      <c r="D488" s="6" t="s">
        <v>22</v>
      </c>
      <c r="E488" s="6" t="s">
        <v>28</v>
      </c>
      <c r="F488" s="6" t="str">
        <f>IF(E488="","Unknown",E488)</f>
        <v>Mobile</v>
      </c>
      <c r="G488" s="6" t="s">
        <v>29</v>
      </c>
      <c r="H488" s="6" t="str">
        <f>IF(G488="","Unknown",G488)</f>
        <v>Organic</v>
      </c>
      <c r="I488" s="6" t="s">
        <v>34</v>
      </c>
      <c r="J488" s="6">
        <v>1</v>
      </c>
      <c r="K488" s="6">
        <v>1</v>
      </c>
      <c r="L488" s="6">
        <v>0</v>
      </c>
      <c r="M488" s="6">
        <v>0</v>
      </c>
      <c r="N488" s="6">
        <v>0</v>
      </c>
      <c r="O488" s="6">
        <v>0</v>
      </c>
      <c r="P488" s="6">
        <f>IF(O488&gt;0,1,0)</f>
        <v>0</v>
      </c>
      <c r="Q488" s="6">
        <v>0</v>
      </c>
      <c r="S488" s="6">
        <v>87.5</v>
      </c>
      <c r="T488" s="6">
        <f>IF(S488="",MEDIAN($S$2:$S$1409),S488)</f>
        <v>87.5</v>
      </c>
    </row>
    <row r="489" spans="1:20" ht="15" customHeight="1">
      <c r="A489" s="6" t="s">
        <v>523</v>
      </c>
      <c r="B489" s="7">
        <v>45734</v>
      </c>
      <c r="C489" s="6" t="s">
        <v>21</v>
      </c>
      <c r="D489" s="6" t="s">
        <v>36</v>
      </c>
      <c r="E489" s="6" t="s">
        <v>28</v>
      </c>
      <c r="F489" s="6" t="str">
        <f>IF(E489="","Unknown",E489)</f>
        <v>Mobile</v>
      </c>
      <c r="G489" s="6" t="s">
        <v>43</v>
      </c>
      <c r="H489" s="6" t="str">
        <f>IF(G489="","Unknown",G489)</f>
        <v>Referral</v>
      </c>
      <c r="I489" s="6" t="s">
        <v>30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f>IF(O489&gt;0,1,0)</f>
        <v>0</v>
      </c>
      <c r="Q489" s="6">
        <v>0</v>
      </c>
      <c r="S489" s="6">
        <v>43.6</v>
      </c>
      <c r="T489" s="6">
        <f>IF(S489="",MEDIAN($S$2:$S$1409),S489)</f>
        <v>43.6</v>
      </c>
    </row>
    <row r="490" spans="1:20" ht="15" customHeight="1">
      <c r="A490" s="6" t="s">
        <v>524</v>
      </c>
      <c r="B490" s="7">
        <v>45662</v>
      </c>
      <c r="C490" s="6" t="s">
        <v>21</v>
      </c>
      <c r="D490" s="6" t="s">
        <v>36</v>
      </c>
      <c r="E490" s="6" t="s">
        <v>28</v>
      </c>
      <c r="F490" s="6" t="str">
        <f>IF(E490="","Unknown",E490)</f>
        <v>Mobile</v>
      </c>
      <c r="G490" s="6" t="s">
        <v>33</v>
      </c>
      <c r="H490" s="6" t="str">
        <f>IF(G490="","Unknown",G490)</f>
        <v>Paid Search</v>
      </c>
      <c r="I490" s="6" t="s">
        <v>25</v>
      </c>
      <c r="J490" s="6">
        <v>1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f>IF(O490&gt;0,1,0)</f>
        <v>0</v>
      </c>
      <c r="Q490" s="6">
        <v>0</v>
      </c>
      <c r="S490" s="6">
        <v>55.5</v>
      </c>
      <c r="T490" s="6">
        <f>IF(S490="",MEDIAN($S$2:$S$1409),S490)</f>
        <v>55.5</v>
      </c>
    </row>
    <row r="491" spans="1:20" ht="15" customHeight="1">
      <c r="A491" s="6" t="s">
        <v>525</v>
      </c>
      <c r="B491" s="7">
        <v>45787</v>
      </c>
      <c r="C491" s="6" t="s">
        <v>21</v>
      </c>
      <c r="D491" s="6" t="s">
        <v>36</v>
      </c>
      <c r="E491" s="6" t="s">
        <v>23</v>
      </c>
      <c r="F491" s="6" t="str">
        <f>IF(E491="","Unknown",E491)</f>
        <v>Desktop</v>
      </c>
      <c r="G491" s="6" t="s">
        <v>43</v>
      </c>
      <c r="H491" s="6" t="str">
        <f>IF(G491="","Unknown",G491)</f>
        <v>Referral</v>
      </c>
      <c r="I491" s="6" t="s">
        <v>25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f>IF(O491&gt;0,1,0)</f>
        <v>0</v>
      </c>
      <c r="Q491" s="6">
        <v>0</v>
      </c>
      <c r="S491" s="6">
        <v>78.599999999999994</v>
      </c>
      <c r="T491" s="6">
        <f>IF(S491="",MEDIAN($S$2:$S$1409),S491)</f>
        <v>78.599999999999994</v>
      </c>
    </row>
    <row r="492" spans="1:20" ht="15" customHeight="1">
      <c r="A492" s="6" t="s">
        <v>526</v>
      </c>
      <c r="B492" s="7">
        <v>45660</v>
      </c>
      <c r="C492" s="6" t="s">
        <v>21</v>
      </c>
      <c r="D492" s="6" t="s">
        <v>36</v>
      </c>
      <c r="E492" s="6" t="s">
        <v>28</v>
      </c>
      <c r="F492" s="6" t="str">
        <f>IF(E492="","Unknown",E492)</f>
        <v>Mobile</v>
      </c>
      <c r="G492" s="6" t="s">
        <v>45</v>
      </c>
      <c r="H492" s="6" t="str">
        <f>IF(G492="","Unknown",G492)</f>
        <v>Social</v>
      </c>
      <c r="I492" s="6" t="s">
        <v>25</v>
      </c>
      <c r="J492" s="6">
        <v>1</v>
      </c>
      <c r="K492" s="6">
        <v>1</v>
      </c>
      <c r="L492" s="6">
        <v>0</v>
      </c>
      <c r="M492" s="6">
        <v>0</v>
      </c>
      <c r="N492" s="6">
        <v>0</v>
      </c>
      <c r="O492" s="6">
        <v>1</v>
      </c>
      <c r="P492" s="6">
        <f>IF(O492&gt;0,1,0)</f>
        <v>1</v>
      </c>
      <c r="Q492" s="6">
        <v>0</v>
      </c>
      <c r="S492" s="6">
        <v>44.3</v>
      </c>
      <c r="T492" s="6">
        <f>IF(S492="",MEDIAN($S$2:$S$1409),S492)</f>
        <v>44.3</v>
      </c>
    </row>
    <row r="493" spans="1:20" ht="15" customHeight="1">
      <c r="A493" s="6" t="s">
        <v>527</v>
      </c>
      <c r="B493" s="7">
        <v>45785</v>
      </c>
      <c r="C493" s="6" t="s">
        <v>21</v>
      </c>
      <c r="D493" s="6" t="s">
        <v>36</v>
      </c>
      <c r="E493" s="6" t="s">
        <v>28</v>
      </c>
      <c r="F493" s="6" t="str">
        <f>IF(E493="","Unknown",E493)</f>
        <v>Mobile</v>
      </c>
      <c r="G493" s="6" t="s">
        <v>33</v>
      </c>
      <c r="H493" s="6" t="str">
        <f>IF(G493="","Unknown",G493)</f>
        <v>Paid Search</v>
      </c>
      <c r="I493" s="6" t="s">
        <v>30</v>
      </c>
      <c r="J493" s="6">
        <v>1</v>
      </c>
      <c r="K493" s="6">
        <v>1</v>
      </c>
      <c r="L493" s="6">
        <v>0</v>
      </c>
      <c r="M493" s="6">
        <v>0</v>
      </c>
      <c r="N493" s="6">
        <v>0</v>
      </c>
      <c r="O493" s="6">
        <v>0</v>
      </c>
      <c r="P493" s="6">
        <f>IF(O493&gt;0,1,0)</f>
        <v>0</v>
      </c>
      <c r="Q493" s="6">
        <v>0</v>
      </c>
      <c r="S493" s="6">
        <v>45.2</v>
      </c>
      <c r="T493" s="6">
        <f>IF(S493="",MEDIAN($S$2:$S$1409),S493)</f>
        <v>45.2</v>
      </c>
    </row>
    <row r="494" spans="1:20" ht="15" customHeight="1">
      <c r="A494" s="6" t="s">
        <v>528</v>
      </c>
      <c r="B494" s="7">
        <v>45721</v>
      </c>
      <c r="C494" s="6" t="s">
        <v>21</v>
      </c>
      <c r="D494" s="6" t="s">
        <v>36</v>
      </c>
      <c r="E494" s="6" t="s">
        <v>23</v>
      </c>
      <c r="F494" s="6" t="str">
        <f>IF(E494="","Unknown",E494)</f>
        <v>Desktop</v>
      </c>
      <c r="G494" s="6" t="s">
        <v>24</v>
      </c>
      <c r="H494" s="6" t="str">
        <f>IF(G494="","Unknown",G494)</f>
        <v>Email</v>
      </c>
      <c r="I494" s="6" t="s">
        <v>25</v>
      </c>
      <c r="J494" s="6">
        <v>1</v>
      </c>
      <c r="K494" s="6">
        <v>0</v>
      </c>
      <c r="L494" s="6">
        <v>0</v>
      </c>
      <c r="M494" s="6">
        <v>0</v>
      </c>
      <c r="N494" s="6">
        <v>0</v>
      </c>
      <c r="O494" s="6">
        <v>2</v>
      </c>
      <c r="P494" s="6">
        <f>IF(O494&gt;0,1,0)</f>
        <v>1</v>
      </c>
      <c r="Q494" s="6">
        <v>0</v>
      </c>
      <c r="S494" s="6">
        <v>46.1</v>
      </c>
      <c r="T494" s="6">
        <f>IF(S494="",MEDIAN($S$2:$S$1409),S494)</f>
        <v>46.1</v>
      </c>
    </row>
    <row r="495" spans="1:20" ht="15" customHeight="1">
      <c r="A495" s="6" t="s">
        <v>529</v>
      </c>
      <c r="B495" s="7">
        <v>45705</v>
      </c>
      <c r="C495" s="6" t="s">
        <v>21</v>
      </c>
      <c r="D495" s="6" t="s">
        <v>22</v>
      </c>
      <c r="E495" s="6" t="s">
        <v>28</v>
      </c>
      <c r="F495" s="6" t="str">
        <f>IF(E495="","Unknown",E495)</f>
        <v>Mobile</v>
      </c>
      <c r="G495" s="6" t="s">
        <v>29</v>
      </c>
      <c r="H495" s="6" t="str">
        <f>IF(G495="","Unknown",G495)</f>
        <v>Organic</v>
      </c>
      <c r="I495" s="6" t="s">
        <v>34</v>
      </c>
      <c r="J495" s="6">
        <v>1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f>IF(O495&gt;0,1,0)</f>
        <v>0</v>
      </c>
      <c r="Q495" s="6">
        <v>0</v>
      </c>
      <c r="S495" s="6">
        <v>49.6</v>
      </c>
      <c r="T495" s="6">
        <f>IF(S495="",MEDIAN($S$2:$S$1409),S495)</f>
        <v>49.6</v>
      </c>
    </row>
    <row r="496" spans="1:20" ht="15" customHeight="1">
      <c r="A496" s="6" t="s">
        <v>530</v>
      </c>
      <c r="B496" s="7">
        <v>45666</v>
      </c>
      <c r="C496" s="6" t="s">
        <v>21</v>
      </c>
      <c r="D496" s="6" t="s">
        <v>36</v>
      </c>
      <c r="E496" s="6" t="s">
        <v>28</v>
      </c>
      <c r="F496" s="6" t="str">
        <f>IF(E496="","Unknown",E496)</f>
        <v>Mobile</v>
      </c>
      <c r="G496" s="6" t="s">
        <v>43</v>
      </c>
      <c r="H496" s="6" t="str">
        <f>IF(G496="","Unknown",G496)</f>
        <v>Referral</v>
      </c>
      <c r="I496" s="6" t="s">
        <v>25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f>IF(O496&gt;0,1,0)</f>
        <v>0</v>
      </c>
      <c r="Q496" s="6">
        <v>0</v>
      </c>
      <c r="S496" s="6">
        <v>70.5</v>
      </c>
      <c r="T496" s="6">
        <f>IF(S496="",MEDIAN($S$2:$S$1409),S496)</f>
        <v>70.5</v>
      </c>
    </row>
    <row r="497" spans="1:20" ht="15" customHeight="1">
      <c r="A497" s="6" t="s">
        <v>531</v>
      </c>
      <c r="B497" s="7">
        <v>45782</v>
      </c>
      <c r="C497" s="6" t="s">
        <v>21</v>
      </c>
      <c r="D497" s="6" t="s">
        <v>36</v>
      </c>
      <c r="E497" s="6" t="s">
        <v>28</v>
      </c>
      <c r="F497" s="6" t="str">
        <f>IF(E497="","Unknown",E497)</f>
        <v>Mobile</v>
      </c>
      <c r="G497" s="6" t="s">
        <v>24</v>
      </c>
      <c r="H497" s="6" t="str">
        <f>IF(G497="","Unknown",G497)</f>
        <v>Email</v>
      </c>
      <c r="I497" s="6" t="s">
        <v>25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1</v>
      </c>
      <c r="P497" s="6">
        <f>IF(O497&gt;0,1,0)</f>
        <v>1</v>
      </c>
      <c r="Q497" s="6">
        <v>0</v>
      </c>
      <c r="S497" s="6">
        <v>60.8</v>
      </c>
      <c r="T497" s="6">
        <f>IF(S497="",MEDIAN($S$2:$S$1409),S497)</f>
        <v>60.8</v>
      </c>
    </row>
    <row r="498" spans="1:20" ht="15" customHeight="1">
      <c r="A498" s="6" t="s">
        <v>532</v>
      </c>
      <c r="B498" s="7">
        <v>45763</v>
      </c>
      <c r="C498" s="6" t="s">
        <v>21</v>
      </c>
      <c r="D498" s="6" t="s">
        <v>32</v>
      </c>
      <c r="E498" s="6" t="s">
        <v>28</v>
      </c>
      <c r="F498" s="6" t="str">
        <f>IF(E498="","Unknown",E498)</f>
        <v>Mobile</v>
      </c>
      <c r="G498" s="6" t="s">
        <v>24</v>
      </c>
      <c r="H498" s="6" t="str">
        <f>IF(G498="","Unknown",G498)</f>
        <v>Email</v>
      </c>
      <c r="I498" s="6" t="s">
        <v>25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1</v>
      </c>
      <c r="P498" s="6">
        <f>IF(O498&gt;0,1,0)</f>
        <v>1</v>
      </c>
      <c r="Q498" s="6">
        <v>0</v>
      </c>
      <c r="S498" s="6">
        <v>50.5</v>
      </c>
      <c r="T498" s="6">
        <f>IF(S498="",MEDIAN($S$2:$S$1409),S498)</f>
        <v>50.5</v>
      </c>
    </row>
    <row r="499" spans="1:20" ht="15" customHeight="1">
      <c r="A499" s="6" t="s">
        <v>533</v>
      </c>
      <c r="B499" s="7">
        <v>45718</v>
      </c>
      <c r="C499" s="6" t="s">
        <v>21</v>
      </c>
      <c r="D499" s="6" t="s">
        <v>36</v>
      </c>
      <c r="E499" s="6" t="s">
        <v>23</v>
      </c>
      <c r="F499" s="6" t="str">
        <f>IF(E499="","Unknown",E499)</f>
        <v>Desktop</v>
      </c>
      <c r="G499" s="6" t="s">
        <v>29</v>
      </c>
      <c r="H499" s="6" t="str">
        <f>IF(G499="","Unknown",G499)</f>
        <v>Organic</v>
      </c>
      <c r="I499" s="6" t="s">
        <v>30</v>
      </c>
      <c r="J499" s="6">
        <v>1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f>IF(O499&gt;0,1,0)</f>
        <v>0</v>
      </c>
      <c r="Q499" s="6">
        <v>0</v>
      </c>
      <c r="S499" s="6">
        <v>54.9</v>
      </c>
      <c r="T499" s="6">
        <f>IF(S499="",MEDIAN($S$2:$S$1409),S499)</f>
        <v>54.9</v>
      </c>
    </row>
    <row r="500" spans="1:20" ht="15" customHeight="1">
      <c r="A500" s="6" t="s">
        <v>534</v>
      </c>
      <c r="B500" s="7">
        <v>45761</v>
      </c>
      <c r="C500" s="6" t="s">
        <v>21</v>
      </c>
      <c r="D500" s="6" t="s">
        <v>36</v>
      </c>
      <c r="E500" s="6" t="s">
        <v>28</v>
      </c>
      <c r="F500" s="6" t="str">
        <f>IF(E500="","Unknown",E500)</f>
        <v>Mobile</v>
      </c>
      <c r="G500" s="6" t="s">
        <v>45</v>
      </c>
      <c r="H500" s="6" t="str">
        <f>IF(G500="","Unknown",G500)</f>
        <v>Social</v>
      </c>
      <c r="I500" s="6" t="s">
        <v>34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f>IF(O500&gt;0,1,0)</f>
        <v>0</v>
      </c>
      <c r="Q500" s="6">
        <v>0</v>
      </c>
      <c r="S500" s="6">
        <v>29.9</v>
      </c>
      <c r="T500" s="6">
        <f>IF(S500="",MEDIAN($S$2:$S$1409),S500)</f>
        <v>29.9</v>
      </c>
    </row>
    <row r="501" spans="1:20" ht="15" customHeight="1">
      <c r="A501" s="6" t="s">
        <v>535</v>
      </c>
      <c r="B501" s="7">
        <v>45703</v>
      </c>
      <c r="C501" s="6" t="s">
        <v>21</v>
      </c>
      <c r="D501" s="6" t="s">
        <v>32</v>
      </c>
      <c r="E501" s="6" t="s">
        <v>23</v>
      </c>
      <c r="F501" s="6" t="str">
        <f>IF(E501="","Unknown",E501)</f>
        <v>Desktop</v>
      </c>
      <c r="G501" s="6" t="s">
        <v>33</v>
      </c>
      <c r="H501" s="6" t="str">
        <f>IF(G501="","Unknown",G501)</f>
        <v>Paid Search</v>
      </c>
      <c r="I501" s="6" t="s">
        <v>25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f>IF(O501&gt;0,1,0)</f>
        <v>0</v>
      </c>
      <c r="Q501" s="6">
        <v>0</v>
      </c>
      <c r="S501" s="6">
        <v>48.3</v>
      </c>
      <c r="T501" s="6">
        <f>IF(S501="",MEDIAN($S$2:$S$1409),S501)</f>
        <v>48.3</v>
      </c>
    </row>
    <row r="502" spans="1:20" ht="15" customHeight="1">
      <c r="A502" s="6" t="s">
        <v>536</v>
      </c>
      <c r="B502" s="7">
        <v>45701</v>
      </c>
      <c r="C502" s="6" t="s">
        <v>21</v>
      </c>
      <c r="D502" s="6" t="s">
        <v>27</v>
      </c>
      <c r="E502" s="6" t="s">
        <v>28</v>
      </c>
      <c r="F502" s="6" t="str">
        <f>IF(E502="","Unknown",E502)</f>
        <v>Mobile</v>
      </c>
      <c r="G502" s="6" t="s">
        <v>45</v>
      </c>
      <c r="H502" s="6" t="str">
        <f>IF(G502="","Unknown",G502)</f>
        <v>Social</v>
      </c>
      <c r="I502" s="6" t="s">
        <v>30</v>
      </c>
      <c r="J502" s="6">
        <v>1</v>
      </c>
      <c r="K502" s="6">
        <v>1</v>
      </c>
      <c r="L502" s="6">
        <v>1</v>
      </c>
      <c r="M502" s="6">
        <v>1</v>
      </c>
      <c r="N502" s="6">
        <v>513.61</v>
      </c>
      <c r="O502" s="6">
        <v>0</v>
      </c>
      <c r="P502" s="6">
        <f>IF(O502&gt;0,1,0)</f>
        <v>0</v>
      </c>
      <c r="Q502" s="6">
        <v>0</v>
      </c>
      <c r="R502" s="6">
        <v>7</v>
      </c>
      <c r="S502" s="6">
        <v>41.3</v>
      </c>
      <c r="T502" s="6">
        <f>IF(S502="",MEDIAN($S$2:$S$1409),S502)</f>
        <v>41.3</v>
      </c>
    </row>
    <row r="503" spans="1:20" ht="15" customHeight="1">
      <c r="A503" s="6" t="s">
        <v>537</v>
      </c>
      <c r="B503" s="7">
        <v>45722</v>
      </c>
      <c r="C503" s="6" t="s">
        <v>21</v>
      </c>
      <c r="D503" s="6" t="s">
        <v>22</v>
      </c>
      <c r="E503" s="6" t="s">
        <v>28</v>
      </c>
      <c r="F503" s="6" t="str">
        <f>IF(E503="","Unknown",E503)</f>
        <v>Mobile</v>
      </c>
      <c r="G503" s="6" t="s">
        <v>24</v>
      </c>
      <c r="H503" s="6" t="str">
        <f>IF(G503="","Unknown",G503)</f>
        <v>Email</v>
      </c>
      <c r="I503" s="6" t="s">
        <v>30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f>IF(O503&gt;0,1,0)</f>
        <v>0</v>
      </c>
      <c r="Q503" s="6">
        <v>0</v>
      </c>
      <c r="S503" s="6">
        <v>61.4</v>
      </c>
      <c r="T503" s="6">
        <f>IF(S503="",MEDIAN($S$2:$S$1409),S503)</f>
        <v>61.4</v>
      </c>
    </row>
    <row r="504" spans="1:20" ht="15" customHeight="1">
      <c r="A504" s="6" t="s">
        <v>538</v>
      </c>
      <c r="B504" s="7">
        <v>45706</v>
      </c>
      <c r="C504" s="6" t="s">
        <v>21</v>
      </c>
      <c r="D504" s="6" t="s">
        <v>36</v>
      </c>
      <c r="E504" s="6" t="s">
        <v>23</v>
      </c>
      <c r="F504" s="6" t="str">
        <f>IF(E504="","Unknown",E504)</f>
        <v>Desktop</v>
      </c>
      <c r="G504" s="6" t="s">
        <v>45</v>
      </c>
      <c r="H504" s="6" t="str">
        <f>IF(G504="","Unknown",G504)</f>
        <v>Social</v>
      </c>
      <c r="I504" s="6" t="s">
        <v>30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f>IF(O504&gt;0,1,0)</f>
        <v>0</v>
      </c>
      <c r="Q504" s="6">
        <v>0</v>
      </c>
      <c r="S504" s="6">
        <v>57.8</v>
      </c>
      <c r="T504" s="6">
        <f>IF(S504="",MEDIAN($S$2:$S$1409),S504)</f>
        <v>57.8</v>
      </c>
    </row>
    <row r="505" spans="1:20" ht="15" customHeight="1">
      <c r="A505" s="6" t="s">
        <v>539</v>
      </c>
      <c r="B505" s="7">
        <v>45754</v>
      </c>
      <c r="C505" s="6" t="s">
        <v>21</v>
      </c>
      <c r="D505" s="6" t="s">
        <v>22</v>
      </c>
      <c r="E505" s="6" t="s">
        <v>23</v>
      </c>
      <c r="F505" s="6" t="str">
        <f>IF(E505="","Unknown",E505)</f>
        <v>Desktop</v>
      </c>
      <c r="G505" s="6" t="s">
        <v>29</v>
      </c>
      <c r="H505" s="6" t="str">
        <f>IF(G505="","Unknown",G505)</f>
        <v>Organic</v>
      </c>
      <c r="I505" s="6" t="s">
        <v>30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f>IF(O505&gt;0,1,0)</f>
        <v>0</v>
      </c>
      <c r="Q505" s="6">
        <v>0</v>
      </c>
      <c r="S505" s="6">
        <v>78.2</v>
      </c>
      <c r="T505" s="6">
        <f>IF(S505="",MEDIAN($S$2:$S$1409),S505)</f>
        <v>78.2</v>
      </c>
    </row>
    <row r="506" spans="1:20" ht="15" customHeight="1">
      <c r="A506" s="6" t="s">
        <v>540</v>
      </c>
      <c r="B506" s="7">
        <v>45753</v>
      </c>
      <c r="C506" s="6" t="s">
        <v>21</v>
      </c>
      <c r="D506" s="6" t="s">
        <v>22</v>
      </c>
      <c r="E506" s="6" t="s">
        <v>28</v>
      </c>
      <c r="F506" s="6" t="str">
        <f>IF(E506="","Unknown",E506)</f>
        <v>Mobile</v>
      </c>
      <c r="G506" s="6" t="s">
        <v>43</v>
      </c>
      <c r="H506" s="6" t="str">
        <f>IF(G506="","Unknown",G506)</f>
        <v>Referral</v>
      </c>
      <c r="I506" s="6" t="s">
        <v>30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f>IF(O506&gt;0,1,0)</f>
        <v>0</v>
      </c>
      <c r="Q506" s="6">
        <v>0</v>
      </c>
      <c r="S506" s="6">
        <v>63.8</v>
      </c>
      <c r="T506" s="6">
        <f>IF(S506="",MEDIAN($S$2:$S$1409),S506)</f>
        <v>63.8</v>
      </c>
    </row>
    <row r="507" spans="1:20" ht="15" customHeight="1">
      <c r="A507" s="6" t="s">
        <v>541</v>
      </c>
      <c r="B507" s="7">
        <v>45687</v>
      </c>
      <c r="C507" s="6" t="s">
        <v>21</v>
      </c>
      <c r="D507" s="6" t="s">
        <v>22</v>
      </c>
      <c r="E507" s="6" t="s">
        <v>23</v>
      </c>
      <c r="F507" s="6" t="str">
        <f>IF(E507="","Unknown",E507)</f>
        <v>Desktop</v>
      </c>
      <c r="G507" s="6" t="s">
        <v>45</v>
      </c>
      <c r="H507" s="6" t="str">
        <f>IF(G507="","Unknown",G507)</f>
        <v>Social</v>
      </c>
      <c r="I507" s="6" t="s">
        <v>30</v>
      </c>
      <c r="J507" s="6">
        <v>1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f>IF(O507&gt;0,1,0)</f>
        <v>0</v>
      </c>
      <c r="Q507" s="6">
        <v>0</v>
      </c>
      <c r="S507" s="6">
        <v>56.8</v>
      </c>
      <c r="T507" s="6">
        <f>IF(S507="",MEDIAN($S$2:$S$1409),S507)</f>
        <v>56.8</v>
      </c>
    </row>
    <row r="508" spans="1:20" ht="15" customHeight="1">
      <c r="A508" s="6" t="s">
        <v>542</v>
      </c>
      <c r="B508" s="7">
        <v>45790</v>
      </c>
      <c r="C508" s="6" t="s">
        <v>21</v>
      </c>
      <c r="D508" s="6" t="s">
        <v>36</v>
      </c>
      <c r="E508" s="6" t="s">
        <v>23</v>
      </c>
      <c r="F508" s="6" t="str">
        <f>IF(E508="","Unknown",E508)</f>
        <v>Desktop</v>
      </c>
      <c r="G508" s="6" t="s">
        <v>29</v>
      </c>
      <c r="H508" s="6" t="str">
        <f>IF(G508="","Unknown",G508)</f>
        <v>Organic</v>
      </c>
      <c r="I508" s="6" t="s">
        <v>25</v>
      </c>
      <c r="J508" s="6">
        <v>1</v>
      </c>
      <c r="K508" s="6">
        <v>1</v>
      </c>
      <c r="L508" s="6">
        <v>0</v>
      </c>
      <c r="M508" s="6">
        <v>0</v>
      </c>
      <c r="N508" s="6">
        <v>0</v>
      </c>
      <c r="O508" s="6">
        <v>0</v>
      </c>
      <c r="P508" s="6">
        <f>IF(O508&gt;0,1,0)</f>
        <v>0</v>
      </c>
      <c r="Q508" s="6">
        <v>0</v>
      </c>
      <c r="S508" s="6">
        <v>59.6</v>
      </c>
      <c r="T508" s="6">
        <f>IF(S508="",MEDIAN($S$2:$S$1409),S508)</f>
        <v>59.6</v>
      </c>
    </row>
    <row r="509" spans="1:20" ht="15" customHeight="1">
      <c r="A509" s="6" t="s">
        <v>543</v>
      </c>
      <c r="B509" s="7">
        <v>45677</v>
      </c>
      <c r="C509" s="6" t="s">
        <v>21</v>
      </c>
      <c r="D509" s="6" t="s">
        <v>27</v>
      </c>
      <c r="E509" s="6" t="s">
        <v>28</v>
      </c>
      <c r="F509" s="6" t="str">
        <f>IF(E509="","Unknown",E509)</f>
        <v>Mobile</v>
      </c>
      <c r="G509" s="6" t="s">
        <v>33</v>
      </c>
      <c r="H509" s="6" t="str">
        <f>IF(G509="","Unknown",G509)</f>
        <v>Paid Search</v>
      </c>
      <c r="I509" s="6" t="s">
        <v>34</v>
      </c>
      <c r="J509" s="6">
        <v>1</v>
      </c>
      <c r="K509" s="6">
        <v>1</v>
      </c>
      <c r="L509" s="6">
        <v>0</v>
      </c>
      <c r="M509" s="6">
        <v>0</v>
      </c>
      <c r="N509" s="6">
        <v>0</v>
      </c>
      <c r="O509" s="6">
        <v>0</v>
      </c>
      <c r="P509" s="6">
        <f>IF(O509&gt;0,1,0)</f>
        <v>0</v>
      </c>
      <c r="Q509" s="6">
        <v>0</v>
      </c>
      <c r="S509" s="6">
        <v>50</v>
      </c>
      <c r="T509" s="6">
        <f>IF(S509="",MEDIAN($S$2:$S$1409),S509)</f>
        <v>50</v>
      </c>
    </row>
    <row r="510" spans="1:20" ht="15" customHeight="1">
      <c r="A510" s="6" t="s">
        <v>544</v>
      </c>
      <c r="B510" s="7">
        <v>45687</v>
      </c>
      <c r="C510" s="6" t="s">
        <v>21</v>
      </c>
      <c r="D510" s="6" t="s">
        <v>22</v>
      </c>
      <c r="E510" s="6" t="s">
        <v>38</v>
      </c>
      <c r="F510" s="6" t="str">
        <f>IF(E510="","Unknown",E510)</f>
        <v>Tablet</v>
      </c>
      <c r="G510" s="6" t="s">
        <v>29</v>
      </c>
      <c r="H510" s="6" t="str">
        <f>IF(G510="","Unknown",G510)</f>
        <v>Organic</v>
      </c>
      <c r="I510" s="6" t="s">
        <v>30</v>
      </c>
      <c r="J510" s="6">
        <v>1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f>IF(O510&gt;0,1,0)</f>
        <v>0</v>
      </c>
      <c r="Q510" s="6">
        <v>0</v>
      </c>
      <c r="S510" s="6">
        <v>35.700000000000003</v>
      </c>
      <c r="T510" s="6">
        <f>IF(S510="",MEDIAN($S$2:$S$1409),S510)</f>
        <v>35.700000000000003</v>
      </c>
    </row>
    <row r="511" spans="1:20" ht="15" customHeight="1">
      <c r="A511" s="6" t="s">
        <v>545</v>
      </c>
      <c r="B511" s="7">
        <v>45670</v>
      </c>
      <c r="C511" s="6" t="s">
        <v>21</v>
      </c>
      <c r="D511" s="6" t="s">
        <v>36</v>
      </c>
      <c r="E511" s="6" t="s">
        <v>28</v>
      </c>
      <c r="F511" s="6" t="str">
        <f>IF(E511="","Unknown",E511)</f>
        <v>Mobile</v>
      </c>
      <c r="G511" s="6" t="s">
        <v>29</v>
      </c>
      <c r="H511" s="6" t="str">
        <f>IF(G511="","Unknown",G511)</f>
        <v>Organic</v>
      </c>
      <c r="I511" s="6" t="s">
        <v>30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2</v>
      </c>
      <c r="P511" s="6">
        <f>IF(O511&gt;0,1,0)</f>
        <v>1</v>
      </c>
      <c r="Q511" s="6">
        <v>0</v>
      </c>
      <c r="S511" s="6">
        <v>47.2</v>
      </c>
      <c r="T511" s="6">
        <f>IF(S511="",MEDIAN($S$2:$S$1409),S511)</f>
        <v>47.2</v>
      </c>
    </row>
    <row r="512" spans="1:20" ht="15" customHeight="1">
      <c r="A512" s="6" t="s">
        <v>546</v>
      </c>
      <c r="B512" s="7">
        <v>45699</v>
      </c>
      <c r="C512" s="6" t="s">
        <v>21</v>
      </c>
      <c r="D512" s="6" t="s">
        <v>22</v>
      </c>
      <c r="E512" s="6" t="s">
        <v>28</v>
      </c>
      <c r="F512" s="6" t="str">
        <f>IF(E512="","Unknown",E512)</f>
        <v>Mobile</v>
      </c>
      <c r="G512" s="6" t="s">
        <v>45</v>
      </c>
      <c r="H512" s="6" t="str">
        <f>IF(G512="","Unknown",G512)</f>
        <v>Social</v>
      </c>
      <c r="I512" s="6" t="s">
        <v>30</v>
      </c>
      <c r="J512" s="6">
        <v>1</v>
      </c>
      <c r="K512" s="6">
        <v>1</v>
      </c>
      <c r="L512" s="6">
        <v>0</v>
      </c>
      <c r="M512" s="6">
        <v>0</v>
      </c>
      <c r="N512" s="6">
        <v>0</v>
      </c>
      <c r="O512" s="6">
        <v>0</v>
      </c>
      <c r="P512" s="6">
        <f>IF(O512&gt;0,1,0)</f>
        <v>0</v>
      </c>
      <c r="Q512" s="6">
        <v>0</v>
      </c>
      <c r="S512" s="6">
        <v>56.9</v>
      </c>
      <c r="T512" s="6">
        <f>IF(S512="",MEDIAN($S$2:$S$1409),S512)</f>
        <v>56.9</v>
      </c>
    </row>
    <row r="513" spans="1:20" ht="15" customHeight="1">
      <c r="A513" s="6" t="s">
        <v>547</v>
      </c>
      <c r="B513" s="7">
        <v>45762</v>
      </c>
      <c r="C513" s="6" t="s">
        <v>21</v>
      </c>
      <c r="D513" s="6" t="s">
        <v>36</v>
      </c>
      <c r="E513" s="6" t="s">
        <v>28</v>
      </c>
      <c r="F513" s="6" t="str">
        <f>IF(E513="","Unknown",E513)</f>
        <v>Mobile</v>
      </c>
      <c r="G513" s="6" t="s">
        <v>29</v>
      </c>
      <c r="H513" s="6" t="str">
        <f>IF(G513="","Unknown",G513)</f>
        <v>Organic</v>
      </c>
      <c r="I513" s="6" t="s">
        <v>30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1</v>
      </c>
      <c r="P513" s="6">
        <f>IF(O513&gt;0,1,0)</f>
        <v>1</v>
      </c>
      <c r="Q513" s="6">
        <v>0</v>
      </c>
      <c r="S513" s="6">
        <v>57.2</v>
      </c>
      <c r="T513" s="6">
        <f>IF(S513="",MEDIAN($S$2:$S$1409),S513)</f>
        <v>57.2</v>
      </c>
    </row>
    <row r="514" spans="1:20" ht="15" customHeight="1">
      <c r="A514" s="6" t="s">
        <v>548</v>
      </c>
      <c r="B514" s="7">
        <v>45701</v>
      </c>
      <c r="C514" s="6" t="s">
        <v>21</v>
      </c>
      <c r="D514" s="6" t="s">
        <v>36</v>
      </c>
      <c r="E514" s="6" t="s">
        <v>28</v>
      </c>
      <c r="F514" s="6" t="str">
        <f>IF(E514="","Unknown",E514)</f>
        <v>Mobile</v>
      </c>
      <c r="G514" s="6"/>
      <c r="H514" s="6" t="str">
        <f>IF(G514="","Unknown",G514)</f>
        <v>Unknown</v>
      </c>
      <c r="I514" s="6" t="s">
        <v>30</v>
      </c>
      <c r="J514" s="6">
        <v>1</v>
      </c>
      <c r="K514" s="6">
        <v>1</v>
      </c>
      <c r="L514" s="6">
        <v>0</v>
      </c>
      <c r="M514" s="6">
        <v>0</v>
      </c>
      <c r="N514" s="6">
        <v>0</v>
      </c>
      <c r="O514" s="6">
        <v>0</v>
      </c>
      <c r="P514" s="6">
        <f>IF(O514&gt;0,1,0)</f>
        <v>0</v>
      </c>
      <c r="Q514" s="6">
        <v>0</v>
      </c>
      <c r="S514" s="6">
        <v>31.4</v>
      </c>
      <c r="T514" s="6">
        <f>IF(S514="",MEDIAN($S$2:$S$1409),S514)</f>
        <v>31.4</v>
      </c>
    </row>
    <row r="515" spans="1:20" ht="15" customHeight="1">
      <c r="A515" s="6" t="s">
        <v>549</v>
      </c>
      <c r="B515" s="7">
        <v>45786</v>
      </c>
      <c r="C515" s="6" t="s">
        <v>21</v>
      </c>
      <c r="D515" s="6" t="s">
        <v>36</v>
      </c>
      <c r="E515" s="6" t="s">
        <v>23</v>
      </c>
      <c r="F515" s="6" t="str">
        <f>IF(E515="","Unknown",E515)</f>
        <v>Desktop</v>
      </c>
      <c r="G515" s="6" t="s">
        <v>29</v>
      </c>
      <c r="H515" s="6" t="str">
        <f>IF(G515="","Unknown",G515)</f>
        <v>Organic</v>
      </c>
      <c r="I515" s="6" t="s">
        <v>30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f>IF(O515&gt;0,1,0)</f>
        <v>0</v>
      </c>
      <c r="Q515" s="6">
        <v>0</v>
      </c>
      <c r="S515" s="6">
        <v>71.2</v>
      </c>
      <c r="T515" s="6">
        <f>IF(S515="",MEDIAN($S$2:$S$1409),S515)</f>
        <v>71.2</v>
      </c>
    </row>
    <row r="516" spans="1:20" ht="15" customHeight="1">
      <c r="A516" s="6" t="s">
        <v>550</v>
      </c>
      <c r="B516" s="7">
        <v>45726</v>
      </c>
      <c r="C516" s="6" t="s">
        <v>21</v>
      </c>
      <c r="D516" s="6" t="s">
        <v>22</v>
      </c>
      <c r="E516" s="6" t="s">
        <v>28</v>
      </c>
      <c r="F516" s="6" t="str">
        <f>IF(E516="","Unknown",E516)</f>
        <v>Mobile</v>
      </c>
      <c r="G516" s="6" t="s">
        <v>33</v>
      </c>
      <c r="H516" s="6" t="str">
        <f>IF(G516="","Unknown",G516)</f>
        <v>Paid Search</v>
      </c>
      <c r="I516" s="6" t="s">
        <v>30</v>
      </c>
      <c r="J516" s="6">
        <v>1</v>
      </c>
      <c r="K516" s="6">
        <v>1</v>
      </c>
      <c r="L516" s="6">
        <v>1</v>
      </c>
      <c r="M516" s="6">
        <v>0</v>
      </c>
      <c r="N516" s="6">
        <v>0</v>
      </c>
      <c r="O516" s="6">
        <v>1</v>
      </c>
      <c r="P516" s="6">
        <f>IF(O516&gt;0,1,0)</f>
        <v>1</v>
      </c>
      <c r="Q516" s="6">
        <v>0</v>
      </c>
      <c r="S516" s="6">
        <v>38.299999999999997</v>
      </c>
      <c r="T516" s="6">
        <f>IF(S516="",MEDIAN($S$2:$S$1409),S516)</f>
        <v>38.299999999999997</v>
      </c>
    </row>
    <row r="517" spans="1:20" ht="15" customHeight="1">
      <c r="A517" s="6" t="s">
        <v>551</v>
      </c>
      <c r="B517" s="7">
        <v>45748</v>
      </c>
      <c r="C517" s="6" t="s">
        <v>21</v>
      </c>
      <c r="D517" s="6" t="s">
        <v>22</v>
      </c>
      <c r="E517" s="6" t="s">
        <v>28</v>
      </c>
      <c r="F517" s="6" t="str">
        <f>IF(E517="","Unknown",E517)</f>
        <v>Mobile</v>
      </c>
      <c r="G517" s="6" t="s">
        <v>29</v>
      </c>
      <c r="H517" s="6" t="str">
        <f>IF(G517="","Unknown",G517)</f>
        <v>Organic</v>
      </c>
      <c r="I517" s="6" t="s">
        <v>30</v>
      </c>
      <c r="J517" s="6">
        <v>1</v>
      </c>
      <c r="K517" s="6">
        <v>1</v>
      </c>
      <c r="L517" s="6">
        <v>0</v>
      </c>
      <c r="M517" s="6">
        <v>0</v>
      </c>
      <c r="N517" s="6">
        <v>0</v>
      </c>
      <c r="O517" s="6">
        <v>0</v>
      </c>
      <c r="P517" s="6">
        <f>IF(O517&gt;0,1,0)</f>
        <v>0</v>
      </c>
      <c r="Q517" s="6">
        <v>0</v>
      </c>
      <c r="S517" s="6">
        <v>63.1</v>
      </c>
      <c r="T517" s="6">
        <f>IF(S517="",MEDIAN($S$2:$S$1409),S517)</f>
        <v>63.1</v>
      </c>
    </row>
    <row r="518" spans="1:20" ht="15" customHeight="1">
      <c r="A518" s="6" t="s">
        <v>552</v>
      </c>
      <c r="B518" s="7">
        <v>45792</v>
      </c>
      <c r="C518" s="6" t="s">
        <v>21</v>
      </c>
      <c r="D518" s="6" t="s">
        <v>32</v>
      </c>
      <c r="E518" s="6" t="s">
        <v>28</v>
      </c>
      <c r="F518" s="6" t="str">
        <f>IF(E518="","Unknown",E518)</f>
        <v>Mobile</v>
      </c>
      <c r="G518" s="6" t="s">
        <v>43</v>
      </c>
      <c r="H518" s="6" t="str">
        <f>IF(G518="","Unknown",G518)</f>
        <v>Referral</v>
      </c>
      <c r="I518" s="6" t="s">
        <v>25</v>
      </c>
      <c r="J518" s="6">
        <v>1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f>IF(O518&gt;0,1,0)</f>
        <v>0</v>
      </c>
      <c r="Q518" s="6">
        <v>0</v>
      </c>
      <c r="S518" s="6">
        <v>59.7</v>
      </c>
      <c r="T518" s="6">
        <f>IF(S518="",MEDIAN($S$2:$S$1409),S518)</f>
        <v>59.7</v>
      </c>
    </row>
    <row r="519" spans="1:20" ht="15" customHeight="1">
      <c r="A519" s="6" t="s">
        <v>553</v>
      </c>
      <c r="B519" s="7">
        <v>45781</v>
      </c>
      <c r="C519" s="6" t="s">
        <v>21</v>
      </c>
      <c r="D519" s="6" t="s">
        <v>36</v>
      </c>
      <c r="E519" s="6" t="s">
        <v>23</v>
      </c>
      <c r="F519" s="6" t="str">
        <f>IF(E519="","Unknown",E519)</f>
        <v>Desktop</v>
      </c>
      <c r="G519" s="6" t="s">
        <v>45</v>
      </c>
      <c r="H519" s="6" t="str">
        <f>IF(G519="","Unknown",G519)</f>
        <v>Social</v>
      </c>
      <c r="I519" s="6" t="s">
        <v>34</v>
      </c>
      <c r="J519" s="6">
        <v>1</v>
      </c>
      <c r="K519" s="6">
        <v>1</v>
      </c>
      <c r="L519" s="6">
        <v>1</v>
      </c>
      <c r="M519" s="6">
        <v>0</v>
      </c>
      <c r="N519" s="6">
        <v>0</v>
      </c>
      <c r="O519" s="6">
        <v>0</v>
      </c>
      <c r="P519" s="6">
        <f>IF(O519&gt;0,1,0)</f>
        <v>0</v>
      </c>
      <c r="Q519" s="6">
        <v>0</v>
      </c>
      <c r="S519" s="6">
        <v>59.5</v>
      </c>
      <c r="T519" s="6">
        <f>IF(S519="",MEDIAN($S$2:$S$1409),S519)</f>
        <v>59.5</v>
      </c>
    </row>
    <row r="520" spans="1:20" ht="15" customHeight="1">
      <c r="A520" s="6" t="s">
        <v>554</v>
      </c>
      <c r="B520" s="7">
        <v>45797</v>
      </c>
      <c r="C520" s="6" t="s">
        <v>21</v>
      </c>
      <c r="D520" s="6" t="s">
        <v>32</v>
      </c>
      <c r="E520" s="6" t="s">
        <v>28</v>
      </c>
      <c r="F520" s="6" t="str">
        <f>IF(E520="","Unknown",E520)</f>
        <v>Mobile</v>
      </c>
      <c r="G520" s="6" t="s">
        <v>33</v>
      </c>
      <c r="H520" s="6" t="str">
        <f>IF(G520="","Unknown",G520)</f>
        <v>Paid Search</v>
      </c>
      <c r="I520" s="6" t="s">
        <v>30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f>IF(O520&gt;0,1,0)</f>
        <v>0</v>
      </c>
      <c r="Q520" s="6">
        <v>0</v>
      </c>
      <c r="S520" s="6">
        <v>78.8</v>
      </c>
      <c r="T520" s="6">
        <f>IF(S520="",MEDIAN($S$2:$S$1409),S520)</f>
        <v>78.8</v>
      </c>
    </row>
    <row r="521" spans="1:20" ht="15" customHeight="1">
      <c r="A521" s="6" t="s">
        <v>555</v>
      </c>
      <c r="B521" s="7">
        <v>45793</v>
      </c>
      <c r="C521" s="6" t="s">
        <v>21</v>
      </c>
      <c r="D521" s="6" t="s">
        <v>27</v>
      </c>
      <c r="E521" s="6" t="s">
        <v>23</v>
      </c>
      <c r="F521" s="6" t="str">
        <f>IF(E521="","Unknown",E521)</f>
        <v>Desktop</v>
      </c>
      <c r="G521" s="6" t="s">
        <v>43</v>
      </c>
      <c r="H521" s="6" t="str">
        <f>IF(G521="","Unknown",G521)</f>
        <v>Referral</v>
      </c>
      <c r="I521" s="6" t="s">
        <v>30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f>IF(O521&gt;0,1,0)</f>
        <v>0</v>
      </c>
      <c r="Q521" s="6">
        <v>0</v>
      </c>
      <c r="S521" s="6">
        <v>54</v>
      </c>
      <c r="T521" s="6">
        <f>IF(S521="",MEDIAN($S$2:$S$1409),S521)</f>
        <v>54</v>
      </c>
    </row>
    <row r="522" spans="1:20" ht="15" customHeight="1">
      <c r="A522" s="6" t="s">
        <v>556</v>
      </c>
      <c r="B522" s="7">
        <v>45733</v>
      </c>
      <c r="C522" s="6" t="s">
        <v>21</v>
      </c>
      <c r="D522" s="6" t="s">
        <v>27</v>
      </c>
      <c r="E522" s="6" t="s">
        <v>28</v>
      </c>
      <c r="F522" s="6" t="str">
        <f>IF(E522="","Unknown",E522)</f>
        <v>Mobile</v>
      </c>
      <c r="G522" s="6" t="s">
        <v>29</v>
      </c>
      <c r="H522" s="6" t="str">
        <f>IF(G522="","Unknown",G522)</f>
        <v>Organic</v>
      </c>
      <c r="I522" s="6" t="s">
        <v>30</v>
      </c>
      <c r="J522" s="6">
        <v>1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f>IF(O522&gt;0,1,0)</f>
        <v>0</v>
      </c>
      <c r="Q522" s="6">
        <v>0</v>
      </c>
      <c r="S522" s="6">
        <v>66.3</v>
      </c>
      <c r="T522" s="6">
        <f>IF(S522="",MEDIAN($S$2:$S$1409),S522)</f>
        <v>66.3</v>
      </c>
    </row>
    <row r="523" spans="1:20" ht="15" customHeight="1">
      <c r="A523" s="6" t="s">
        <v>557</v>
      </c>
      <c r="B523" s="7">
        <v>45684</v>
      </c>
      <c r="C523" s="6" t="s">
        <v>21</v>
      </c>
      <c r="D523" s="6" t="s">
        <v>32</v>
      </c>
      <c r="E523" s="6" t="s">
        <v>38</v>
      </c>
      <c r="F523" s="6" t="str">
        <f>IF(E523="","Unknown",E523)</f>
        <v>Tablet</v>
      </c>
      <c r="G523" s="6" t="s">
        <v>33</v>
      </c>
      <c r="H523" s="6" t="str">
        <f>IF(G523="","Unknown",G523)</f>
        <v>Paid Search</v>
      </c>
      <c r="I523" s="6" t="s">
        <v>30</v>
      </c>
      <c r="J523" s="6">
        <v>1</v>
      </c>
      <c r="K523" s="6">
        <v>1</v>
      </c>
      <c r="L523" s="6">
        <v>0</v>
      </c>
      <c r="M523" s="6">
        <v>0</v>
      </c>
      <c r="N523" s="6">
        <v>0</v>
      </c>
      <c r="O523" s="6">
        <v>0</v>
      </c>
      <c r="P523" s="6">
        <f>IF(O523&gt;0,1,0)</f>
        <v>0</v>
      </c>
      <c r="Q523" s="6">
        <v>0</v>
      </c>
      <c r="S523" s="6">
        <v>54.7</v>
      </c>
      <c r="T523" s="6">
        <f>IF(S523="",MEDIAN($S$2:$S$1409),S523)</f>
        <v>54.7</v>
      </c>
    </row>
    <row r="524" spans="1:20" ht="15" customHeight="1">
      <c r="A524" s="6" t="s">
        <v>558</v>
      </c>
      <c r="B524" s="7">
        <v>45760</v>
      </c>
      <c r="C524" s="6" t="s">
        <v>21</v>
      </c>
      <c r="D524" s="6" t="s">
        <v>36</v>
      </c>
      <c r="E524" s="6" t="s">
        <v>28</v>
      </c>
      <c r="F524" s="6" t="str">
        <f>IF(E524="","Unknown",E524)</f>
        <v>Mobile</v>
      </c>
      <c r="G524" s="6" t="s">
        <v>29</v>
      </c>
      <c r="H524" s="6" t="str">
        <f>IF(G524="","Unknown",G524)</f>
        <v>Organic</v>
      </c>
      <c r="I524" s="6" t="s">
        <v>25</v>
      </c>
      <c r="J524" s="6">
        <v>1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f>IF(O524&gt;0,1,0)</f>
        <v>0</v>
      </c>
      <c r="Q524" s="6">
        <v>0</v>
      </c>
      <c r="S524" s="6">
        <v>76.7</v>
      </c>
      <c r="T524" s="6">
        <f>IF(S524="",MEDIAN($S$2:$S$1409),S524)</f>
        <v>76.7</v>
      </c>
    </row>
    <row r="525" spans="1:20" ht="15" customHeight="1">
      <c r="A525" s="6" t="s">
        <v>559</v>
      </c>
      <c r="B525" s="7">
        <v>45780</v>
      </c>
      <c r="C525" s="6" t="s">
        <v>21</v>
      </c>
      <c r="D525" s="6" t="s">
        <v>36</v>
      </c>
      <c r="E525" s="6" t="s">
        <v>23</v>
      </c>
      <c r="F525" s="6" t="str">
        <f>IF(E525="","Unknown",E525)</f>
        <v>Desktop</v>
      </c>
      <c r="G525" s="6" t="s">
        <v>24</v>
      </c>
      <c r="H525" s="6" t="str">
        <f>IF(G525="","Unknown",G525)</f>
        <v>Email</v>
      </c>
      <c r="I525" s="6" t="s">
        <v>25</v>
      </c>
      <c r="J525" s="6">
        <v>1</v>
      </c>
      <c r="K525" s="6">
        <v>0</v>
      </c>
      <c r="L525" s="6">
        <v>0</v>
      </c>
      <c r="M525" s="6">
        <v>0</v>
      </c>
      <c r="N525" s="6">
        <v>0</v>
      </c>
      <c r="O525" s="6">
        <v>2</v>
      </c>
      <c r="P525" s="6">
        <f>IF(O525&gt;0,1,0)</f>
        <v>1</v>
      </c>
      <c r="Q525" s="6">
        <v>0</v>
      </c>
      <c r="S525" s="6">
        <v>47.4</v>
      </c>
      <c r="T525" s="6">
        <f>IF(S525="",MEDIAN($S$2:$S$1409),S525)</f>
        <v>47.4</v>
      </c>
    </row>
    <row r="526" spans="1:20" ht="15" customHeight="1">
      <c r="A526" s="6" t="s">
        <v>560</v>
      </c>
      <c r="B526" s="7">
        <v>45746</v>
      </c>
      <c r="C526" s="6" t="s">
        <v>21</v>
      </c>
      <c r="D526" s="6" t="s">
        <v>22</v>
      </c>
      <c r="E526" s="6" t="s">
        <v>28</v>
      </c>
      <c r="F526" s="6" t="str">
        <f>IF(E526="","Unknown",E526)</f>
        <v>Mobile</v>
      </c>
      <c r="G526" s="6" t="s">
        <v>29</v>
      </c>
      <c r="H526" s="6" t="str">
        <f>IF(G526="","Unknown",G526)</f>
        <v>Organic</v>
      </c>
      <c r="I526" s="6" t="s">
        <v>30</v>
      </c>
      <c r="J526" s="6">
        <v>1</v>
      </c>
      <c r="K526" s="6">
        <v>1</v>
      </c>
      <c r="L526" s="6">
        <v>1</v>
      </c>
      <c r="M526" s="6">
        <v>0</v>
      </c>
      <c r="N526" s="6">
        <v>0</v>
      </c>
      <c r="O526" s="6">
        <v>0</v>
      </c>
      <c r="P526" s="6">
        <f>IF(O526&gt;0,1,0)</f>
        <v>0</v>
      </c>
      <c r="Q526" s="6">
        <v>0</v>
      </c>
      <c r="S526" s="6">
        <v>81.7</v>
      </c>
      <c r="T526" s="6">
        <f>IF(S526="",MEDIAN($S$2:$S$1409),S526)</f>
        <v>81.7</v>
      </c>
    </row>
    <row r="527" spans="1:20" ht="15" customHeight="1">
      <c r="A527" s="6" t="s">
        <v>561</v>
      </c>
      <c r="B527" s="7">
        <v>45658</v>
      </c>
      <c r="C527" s="6" t="s">
        <v>21</v>
      </c>
      <c r="D527" s="6" t="s">
        <v>27</v>
      </c>
      <c r="E527" s="6" t="s">
        <v>28</v>
      </c>
      <c r="F527" s="6" t="str">
        <f>IF(E527="","Unknown",E527)</f>
        <v>Mobile</v>
      </c>
      <c r="G527" s="6" t="s">
        <v>33</v>
      </c>
      <c r="H527" s="6" t="str">
        <f>IF(G527="","Unknown",G527)</f>
        <v>Paid Search</v>
      </c>
      <c r="I527" s="6" t="s">
        <v>25</v>
      </c>
      <c r="J527" s="6">
        <v>1</v>
      </c>
      <c r="K527" s="6">
        <v>1</v>
      </c>
      <c r="L527" s="6">
        <v>1</v>
      </c>
      <c r="M527" s="6">
        <v>0</v>
      </c>
      <c r="N527" s="6">
        <v>0</v>
      </c>
      <c r="O527" s="6">
        <v>0</v>
      </c>
      <c r="P527" s="6">
        <f>IF(O527&gt;0,1,0)</f>
        <v>0</v>
      </c>
      <c r="Q527" s="6">
        <v>0</v>
      </c>
      <c r="S527" s="6">
        <v>67.5</v>
      </c>
      <c r="T527" s="6">
        <f>IF(S527="",MEDIAN($S$2:$S$1409),S527)</f>
        <v>67.5</v>
      </c>
    </row>
    <row r="528" spans="1:20" ht="15" customHeight="1">
      <c r="A528" s="6" t="s">
        <v>562</v>
      </c>
      <c r="B528" s="7">
        <v>45694</v>
      </c>
      <c r="C528" s="6" t="s">
        <v>21</v>
      </c>
      <c r="D528" s="6" t="s">
        <v>27</v>
      </c>
      <c r="E528" s="6" t="s">
        <v>28</v>
      </c>
      <c r="F528" s="6" t="str">
        <f>IF(E528="","Unknown",E528)</f>
        <v>Mobile</v>
      </c>
      <c r="G528" s="6" t="s">
        <v>33</v>
      </c>
      <c r="H528" s="6" t="str">
        <f>IF(G528="","Unknown",G528)</f>
        <v>Paid Search</v>
      </c>
      <c r="I528" s="6" t="s">
        <v>25</v>
      </c>
      <c r="J528" s="6">
        <v>1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f>IF(O528&gt;0,1,0)</f>
        <v>0</v>
      </c>
      <c r="Q528" s="6">
        <v>0</v>
      </c>
      <c r="S528" s="6">
        <v>36.799999999999997</v>
      </c>
      <c r="T528" s="6">
        <f>IF(S528="",MEDIAN($S$2:$S$1409),S528)</f>
        <v>36.799999999999997</v>
      </c>
    </row>
    <row r="529" spans="1:20" ht="15" customHeight="1">
      <c r="A529" s="6" t="s">
        <v>563</v>
      </c>
      <c r="B529" s="7">
        <v>45713</v>
      </c>
      <c r="C529" s="6" t="s">
        <v>21</v>
      </c>
      <c r="D529" s="6" t="s">
        <v>22</v>
      </c>
      <c r="E529" s="6" t="s">
        <v>23</v>
      </c>
      <c r="F529" s="6" t="str">
        <f>IF(E529="","Unknown",E529)</f>
        <v>Desktop</v>
      </c>
      <c r="G529" s="6" t="s">
        <v>29</v>
      </c>
      <c r="H529" s="6" t="str">
        <f>IF(G529="","Unknown",G529)</f>
        <v>Organic</v>
      </c>
      <c r="I529" s="6" t="s">
        <v>30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f>IF(O529&gt;0,1,0)</f>
        <v>0</v>
      </c>
      <c r="Q529" s="6">
        <v>0</v>
      </c>
      <c r="S529" s="6">
        <v>66.5</v>
      </c>
      <c r="T529" s="6">
        <f>IF(S529="",MEDIAN($S$2:$S$1409),S529)</f>
        <v>66.5</v>
      </c>
    </row>
    <row r="530" spans="1:20" ht="15" customHeight="1">
      <c r="A530" s="6" t="s">
        <v>564</v>
      </c>
      <c r="B530" s="7">
        <v>45791</v>
      </c>
      <c r="C530" s="6" t="s">
        <v>21</v>
      </c>
      <c r="D530" s="6" t="s">
        <v>32</v>
      </c>
      <c r="E530" s="6" t="s">
        <v>38</v>
      </c>
      <c r="F530" s="6" t="str">
        <f>IF(E530="","Unknown",E530)</f>
        <v>Tablet</v>
      </c>
      <c r="G530" s="6" t="s">
        <v>45</v>
      </c>
      <c r="H530" s="6" t="str">
        <f>IF(G530="","Unknown",G530)</f>
        <v>Social</v>
      </c>
      <c r="I530" s="6" t="s">
        <v>30</v>
      </c>
      <c r="J530" s="6">
        <v>1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f>IF(O530&gt;0,1,0)</f>
        <v>0</v>
      </c>
      <c r="Q530" s="6">
        <v>0</v>
      </c>
      <c r="S530" s="6">
        <v>35.4</v>
      </c>
      <c r="T530" s="6">
        <f>IF(S530="",MEDIAN($S$2:$S$1409),S530)</f>
        <v>35.4</v>
      </c>
    </row>
    <row r="531" spans="1:20" ht="15" customHeight="1">
      <c r="A531" s="6" t="s">
        <v>565</v>
      </c>
      <c r="B531" s="7">
        <v>45797</v>
      </c>
      <c r="C531" s="6" t="s">
        <v>21</v>
      </c>
      <c r="D531" s="6" t="s">
        <v>36</v>
      </c>
      <c r="E531" s="6" t="s">
        <v>28</v>
      </c>
      <c r="F531" s="6" t="str">
        <f>IF(E531="","Unknown",E531)</f>
        <v>Mobile</v>
      </c>
      <c r="G531" s="6" t="s">
        <v>29</v>
      </c>
      <c r="H531" s="6" t="str">
        <f>IF(G531="","Unknown",G531)</f>
        <v>Organic</v>
      </c>
      <c r="I531" s="6" t="s">
        <v>25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f>IF(O531&gt;0,1,0)</f>
        <v>0</v>
      </c>
      <c r="Q531" s="6">
        <v>0</v>
      </c>
      <c r="S531" s="6">
        <v>64.3</v>
      </c>
      <c r="T531" s="6">
        <f>IF(S531="",MEDIAN($S$2:$S$1409),S531)</f>
        <v>64.3</v>
      </c>
    </row>
    <row r="532" spans="1:20" ht="15" customHeight="1">
      <c r="A532" s="6" t="s">
        <v>566</v>
      </c>
      <c r="B532" s="7">
        <v>45699</v>
      </c>
      <c r="C532" s="6" t="s">
        <v>21</v>
      </c>
      <c r="D532" s="6" t="s">
        <v>36</v>
      </c>
      <c r="E532" s="6" t="s">
        <v>28</v>
      </c>
      <c r="F532" s="6" t="str">
        <f>IF(E532="","Unknown",E532)</f>
        <v>Mobile</v>
      </c>
      <c r="G532" s="6" t="s">
        <v>29</v>
      </c>
      <c r="H532" s="6" t="str">
        <f>IF(G532="","Unknown",G532)</f>
        <v>Organic</v>
      </c>
      <c r="I532" s="6" t="s">
        <v>30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f>IF(O532&gt;0,1,0)</f>
        <v>0</v>
      </c>
      <c r="Q532" s="6">
        <v>0</v>
      </c>
      <c r="S532" s="6">
        <v>49.1</v>
      </c>
      <c r="T532" s="6">
        <f>IF(S532="",MEDIAN($S$2:$S$1409),S532)</f>
        <v>49.1</v>
      </c>
    </row>
    <row r="533" spans="1:20" ht="15" customHeight="1">
      <c r="A533" s="6" t="s">
        <v>567</v>
      </c>
      <c r="B533" s="7">
        <v>45701</v>
      </c>
      <c r="C533" s="6" t="s">
        <v>21</v>
      </c>
      <c r="D533" s="6" t="s">
        <v>27</v>
      </c>
      <c r="E533" s="6" t="s">
        <v>28</v>
      </c>
      <c r="F533" s="6" t="str">
        <f>IF(E533="","Unknown",E533)</f>
        <v>Mobile</v>
      </c>
      <c r="G533" s="6" t="s">
        <v>29</v>
      </c>
      <c r="H533" s="6" t="str">
        <f>IF(G533="","Unknown",G533)</f>
        <v>Organic</v>
      </c>
      <c r="I533" s="6" t="s">
        <v>30</v>
      </c>
      <c r="J533" s="6">
        <v>1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f>IF(O533&gt;0,1,0)</f>
        <v>0</v>
      </c>
      <c r="Q533" s="6">
        <v>0</v>
      </c>
      <c r="S533" s="6">
        <v>84.3</v>
      </c>
      <c r="T533" s="6">
        <f>IF(S533="",MEDIAN($S$2:$S$1409),S533)</f>
        <v>84.3</v>
      </c>
    </row>
    <row r="534" spans="1:20" ht="15" customHeight="1">
      <c r="A534" s="6" t="s">
        <v>568</v>
      </c>
      <c r="B534" s="7">
        <v>45754</v>
      </c>
      <c r="C534" s="6" t="s">
        <v>21</v>
      </c>
      <c r="D534" s="6" t="s">
        <v>36</v>
      </c>
      <c r="E534" s="6" t="s">
        <v>28</v>
      </c>
      <c r="F534" s="6" t="str">
        <f>IF(E534="","Unknown",E534)</f>
        <v>Mobile</v>
      </c>
      <c r="G534" s="6" t="s">
        <v>33</v>
      </c>
      <c r="H534" s="6" t="str">
        <f>IF(G534="","Unknown",G534)</f>
        <v>Paid Search</v>
      </c>
      <c r="I534" s="6" t="s">
        <v>34</v>
      </c>
      <c r="J534" s="6">
        <v>1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f>IF(O534&gt;0,1,0)</f>
        <v>0</v>
      </c>
      <c r="Q534" s="6">
        <v>0</v>
      </c>
      <c r="S534" s="6">
        <v>65.599999999999994</v>
      </c>
      <c r="T534" s="6">
        <f>IF(S534="",MEDIAN($S$2:$S$1409),S534)</f>
        <v>65.599999999999994</v>
      </c>
    </row>
    <row r="535" spans="1:20" ht="15" customHeight="1">
      <c r="A535" s="6" t="s">
        <v>569</v>
      </c>
      <c r="B535" s="7">
        <v>45724</v>
      </c>
      <c r="C535" s="6" t="s">
        <v>21</v>
      </c>
      <c r="D535" s="6" t="s">
        <v>32</v>
      </c>
      <c r="E535" s="6" t="s">
        <v>28</v>
      </c>
      <c r="F535" s="6" t="str">
        <f>IF(E535="","Unknown",E535)</f>
        <v>Mobile</v>
      </c>
      <c r="G535" s="6" t="s">
        <v>24</v>
      </c>
      <c r="H535" s="6" t="str">
        <f>IF(G535="","Unknown",G535)</f>
        <v>Email</v>
      </c>
      <c r="I535" s="6" t="s">
        <v>30</v>
      </c>
      <c r="J535" s="6">
        <v>1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f>IF(O535&gt;0,1,0)</f>
        <v>0</v>
      </c>
      <c r="Q535" s="6">
        <v>0</v>
      </c>
      <c r="S535" s="6">
        <v>47.1</v>
      </c>
      <c r="T535" s="6">
        <f>IF(S535="",MEDIAN($S$2:$S$1409),S535)</f>
        <v>47.1</v>
      </c>
    </row>
    <row r="536" spans="1:20" ht="15" customHeight="1">
      <c r="A536" s="6" t="s">
        <v>570</v>
      </c>
      <c r="B536" s="7">
        <v>45704</v>
      </c>
      <c r="C536" s="6" t="s">
        <v>21</v>
      </c>
      <c r="D536" s="6" t="s">
        <v>22</v>
      </c>
      <c r="E536" s="6" t="s">
        <v>23</v>
      </c>
      <c r="F536" s="6" t="str">
        <f>IF(E536="","Unknown",E536)</f>
        <v>Desktop</v>
      </c>
      <c r="G536" s="6" t="s">
        <v>33</v>
      </c>
      <c r="H536" s="6" t="str">
        <f>IF(G536="","Unknown",G536)</f>
        <v>Paid Search</v>
      </c>
      <c r="I536" s="6" t="s">
        <v>30</v>
      </c>
      <c r="J536" s="6">
        <v>1</v>
      </c>
      <c r="K536" s="6">
        <v>1</v>
      </c>
      <c r="L536" s="6">
        <v>1</v>
      </c>
      <c r="M536" s="6">
        <v>0</v>
      </c>
      <c r="N536" s="6">
        <v>0</v>
      </c>
      <c r="O536" s="6">
        <v>0</v>
      </c>
      <c r="P536" s="6">
        <f>IF(O536&gt;0,1,0)</f>
        <v>0</v>
      </c>
      <c r="Q536" s="6">
        <v>0</v>
      </c>
      <c r="S536" s="6">
        <v>70</v>
      </c>
      <c r="T536" s="6">
        <f>IF(S536="",MEDIAN($S$2:$S$1409),S536)</f>
        <v>70</v>
      </c>
    </row>
    <row r="537" spans="1:20" ht="15" customHeight="1">
      <c r="A537" s="6" t="s">
        <v>571</v>
      </c>
      <c r="B537" s="7">
        <v>45775</v>
      </c>
      <c r="C537" s="6" t="s">
        <v>21</v>
      </c>
      <c r="D537" s="6" t="s">
        <v>36</v>
      </c>
      <c r="E537" s="6" t="s">
        <v>28</v>
      </c>
      <c r="F537" s="6" t="str">
        <f>IF(E537="","Unknown",E537)</f>
        <v>Mobile</v>
      </c>
      <c r="G537" s="6" t="s">
        <v>33</v>
      </c>
      <c r="H537" s="6" t="str">
        <f>IF(G537="","Unknown",G537)</f>
        <v>Paid Search</v>
      </c>
      <c r="I537" s="6" t="s">
        <v>34</v>
      </c>
      <c r="J537" s="6">
        <v>1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f>IF(O537&gt;0,1,0)</f>
        <v>0</v>
      </c>
      <c r="Q537" s="6">
        <v>0</v>
      </c>
      <c r="S537" s="6">
        <v>54.6</v>
      </c>
      <c r="T537" s="6">
        <f>IF(S537="",MEDIAN($S$2:$S$1409),S537)</f>
        <v>54.6</v>
      </c>
    </row>
    <row r="538" spans="1:20" ht="15" customHeight="1">
      <c r="A538" s="6" t="s">
        <v>572</v>
      </c>
      <c r="B538" s="7">
        <v>45726</v>
      </c>
      <c r="C538" s="6" t="s">
        <v>21</v>
      </c>
      <c r="D538" s="6" t="s">
        <v>27</v>
      </c>
      <c r="E538" s="6" t="s">
        <v>38</v>
      </c>
      <c r="F538" s="6" t="str">
        <f>IF(E538="","Unknown",E538)</f>
        <v>Tablet</v>
      </c>
      <c r="G538" s="6" t="s">
        <v>45</v>
      </c>
      <c r="H538" s="6" t="str">
        <f>IF(G538="","Unknown",G538)</f>
        <v>Social</v>
      </c>
      <c r="I538" s="6" t="s">
        <v>25</v>
      </c>
      <c r="J538" s="6">
        <v>1</v>
      </c>
      <c r="K538" s="6">
        <v>1</v>
      </c>
      <c r="L538" s="6">
        <v>0</v>
      </c>
      <c r="M538" s="6">
        <v>0</v>
      </c>
      <c r="N538" s="6">
        <v>0</v>
      </c>
      <c r="O538" s="6">
        <v>1</v>
      </c>
      <c r="P538" s="6">
        <f>IF(O538&gt;0,1,0)</f>
        <v>1</v>
      </c>
      <c r="Q538" s="6">
        <v>0</v>
      </c>
      <c r="S538" s="6">
        <v>65.2</v>
      </c>
      <c r="T538" s="6">
        <f>IF(S538="",MEDIAN($S$2:$S$1409),S538)</f>
        <v>65.2</v>
      </c>
    </row>
    <row r="539" spans="1:20" ht="15" customHeight="1">
      <c r="A539" s="6" t="s">
        <v>573</v>
      </c>
      <c r="B539" s="7">
        <v>45682</v>
      </c>
      <c r="C539" s="6" t="s">
        <v>21</v>
      </c>
      <c r="D539" s="6" t="s">
        <v>32</v>
      </c>
      <c r="E539" s="6" t="s">
        <v>28</v>
      </c>
      <c r="F539" s="6" t="str">
        <f>IF(E539="","Unknown",E539)</f>
        <v>Mobile</v>
      </c>
      <c r="G539" s="6" t="s">
        <v>45</v>
      </c>
      <c r="H539" s="6" t="str">
        <f>IF(G539="","Unknown",G539)</f>
        <v>Social</v>
      </c>
      <c r="I539" s="6" t="s">
        <v>30</v>
      </c>
      <c r="J539" s="6">
        <v>1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f>IF(O539&gt;0,1,0)</f>
        <v>0</v>
      </c>
      <c r="Q539" s="6">
        <v>0</v>
      </c>
      <c r="S539" s="6">
        <v>65</v>
      </c>
      <c r="T539" s="6">
        <f>IF(S539="",MEDIAN($S$2:$S$1409),S539)</f>
        <v>65</v>
      </c>
    </row>
    <row r="540" spans="1:20" ht="15" customHeight="1">
      <c r="A540" s="6" t="s">
        <v>574</v>
      </c>
      <c r="B540" s="7">
        <v>45668</v>
      </c>
      <c r="C540" s="6" t="s">
        <v>21</v>
      </c>
      <c r="D540" s="6" t="s">
        <v>27</v>
      </c>
      <c r="E540" s="6" t="s">
        <v>28</v>
      </c>
      <c r="F540" s="6" t="str">
        <f>IF(E540="","Unknown",E540)</f>
        <v>Mobile</v>
      </c>
      <c r="G540" s="6" t="s">
        <v>33</v>
      </c>
      <c r="H540" s="6" t="str">
        <f>IF(G540="","Unknown",G540)</f>
        <v>Paid Search</v>
      </c>
      <c r="I540" s="6" t="s">
        <v>34</v>
      </c>
      <c r="J540" s="6">
        <v>1</v>
      </c>
      <c r="K540" s="6">
        <v>1</v>
      </c>
      <c r="L540" s="6">
        <v>1</v>
      </c>
      <c r="M540" s="6">
        <v>0</v>
      </c>
      <c r="N540" s="6">
        <v>0</v>
      </c>
      <c r="O540" s="6">
        <v>1</v>
      </c>
      <c r="P540" s="6">
        <f>IF(O540&gt;0,1,0)</f>
        <v>1</v>
      </c>
      <c r="Q540" s="6">
        <v>0</v>
      </c>
      <c r="S540" s="6">
        <v>42.1</v>
      </c>
      <c r="T540" s="6">
        <f>IF(S540="",MEDIAN($S$2:$S$1409),S540)</f>
        <v>42.1</v>
      </c>
    </row>
    <row r="541" spans="1:20" ht="15" customHeight="1">
      <c r="A541" s="6" t="s">
        <v>575</v>
      </c>
      <c r="B541" s="7">
        <v>45747</v>
      </c>
      <c r="C541" s="6" t="s">
        <v>21</v>
      </c>
      <c r="D541" s="6" t="s">
        <v>27</v>
      </c>
      <c r="E541" s="6" t="s">
        <v>38</v>
      </c>
      <c r="F541" s="6" t="str">
        <f>IF(E541="","Unknown",E541)</f>
        <v>Tablet</v>
      </c>
      <c r="G541" s="6" t="s">
        <v>33</v>
      </c>
      <c r="H541" s="6" t="str">
        <f>IF(G541="","Unknown",G541)</f>
        <v>Paid Search</v>
      </c>
      <c r="I541" s="6" t="s">
        <v>30</v>
      </c>
      <c r="J541" s="6">
        <v>1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f>IF(O541&gt;0,1,0)</f>
        <v>0</v>
      </c>
      <c r="Q541" s="6">
        <v>0</v>
      </c>
      <c r="S541" s="6">
        <v>43.4</v>
      </c>
      <c r="T541" s="6">
        <f>IF(S541="",MEDIAN($S$2:$S$1409),S541)</f>
        <v>43.4</v>
      </c>
    </row>
    <row r="542" spans="1:20" ht="15" customHeight="1">
      <c r="A542" s="6" t="s">
        <v>576</v>
      </c>
      <c r="B542" s="7">
        <v>45799</v>
      </c>
      <c r="C542" s="6" t="s">
        <v>21</v>
      </c>
      <c r="D542" s="6" t="s">
        <v>22</v>
      </c>
      <c r="E542" s="6" t="s">
        <v>28</v>
      </c>
      <c r="F542" s="6" t="str">
        <f>IF(E542="","Unknown",E542)</f>
        <v>Mobile</v>
      </c>
      <c r="G542" s="6" t="s">
        <v>33</v>
      </c>
      <c r="H542" s="6" t="str">
        <f>IF(G542="","Unknown",G542)</f>
        <v>Paid Search</v>
      </c>
      <c r="I542" s="6" t="s">
        <v>25</v>
      </c>
      <c r="J542" s="6">
        <v>1</v>
      </c>
      <c r="K542" s="6">
        <v>1</v>
      </c>
      <c r="L542" s="6">
        <v>0</v>
      </c>
      <c r="M542" s="6">
        <v>0</v>
      </c>
      <c r="N542" s="6">
        <v>0</v>
      </c>
      <c r="O542" s="6">
        <v>0</v>
      </c>
      <c r="P542" s="6">
        <f>IF(O542&gt;0,1,0)</f>
        <v>0</v>
      </c>
      <c r="Q542" s="6">
        <v>0</v>
      </c>
      <c r="S542" s="6">
        <v>39.9</v>
      </c>
      <c r="T542" s="6">
        <f>IF(S542="",MEDIAN($S$2:$S$1409),S542)</f>
        <v>39.9</v>
      </c>
    </row>
    <row r="543" spans="1:20" ht="15" customHeight="1">
      <c r="A543" s="6" t="s">
        <v>577</v>
      </c>
      <c r="B543" s="7">
        <v>45793</v>
      </c>
      <c r="C543" s="6" t="s">
        <v>21</v>
      </c>
      <c r="D543" s="6" t="s">
        <v>22</v>
      </c>
      <c r="E543" s="6" t="s">
        <v>28</v>
      </c>
      <c r="F543" s="6" t="str">
        <f>IF(E543="","Unknown",E543)</f>
        <v>Mobile</v>
      </c>
      <c r="G543" s="6" t="s">
        <v>43</v>
      </c>
      <c r="H543" s="6" t="str">
        <f>IF(G543="","Unknown",G543)</f>
        <v>Referral</v>
      </c>
      <c r="I543" s="6" t="s">
        <v>25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f>IF(O543&gt;0,1,0)</f>
        <v>0</v>
      </c>
      <c r="Q543" s="6">
        <v>0</v>
      </c>
      <c r="S543" s="6">
        <v>74.099999999999994</v>
      </c>
      <c r="T543" s="6">
        <f>IF(S543="",MEDIAN($S$2:$S$1409),S543)</f>
        <v>74.099999999999994</v>
      </c>
    </row>
    <row r="544" spans="1:20" ht="15" customHeight="1">
      <c r="A544" s="6" t="s">
        <v>578</v>
      </c>
      <c r="B544" s="7">
        <v>45772</v>
      </c>
      <c r="C544" s="6" t="s">
        <v>21</v>
      </c>
      <c r="D544" s="6" t="s">
        <v>32</v>
      </c>
      <c r="E544" s="6" t="s">
        <v>23</v>
      </c>
      <c r="F544" s="6" t="str">
        <f>IF(E544="","Unknown",E544)</f>
        <v>Desktop</v>
      </c>
      <c r="G544" s="6" t="s">
        <v>33</v>
      </c>
      <c r="H544" s="6" t="str">
        <f>IF(G544="","Unknown",G544)</f>
        <v>Paid Search</v>
      </c>
      <c r="I544" s="6" t="s">
        <v>30</v>
      </c>
      <c r="J544" s="6">
        <v>1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f>IF(O544&gt;0,1,0)</f>
        <v>0</v>
      </c>
      <c r="Q544" s="6">
        <v>0</v>
      </c>
      <c r="S544" s="6">
        <v>61.4</v>
      </c>
      <c r="T544" s="6">
        <f>IF(S544="",MEDIAN($S$2:$S$1409),S544)</f>
        <v>61.4</v>
      </c>
    </row>
    <row r="545" spans="1:20" ht="15" customHeight="1">
      <c r="A545" s="6" t="s">
        <v>579</v>
      </c>
      <c r="B545" s="7">
        <v>45764</v>
      </c>
      <c r="C545" s="6" t="s">
        <v>21</v>
      </c>
      <c r="D545" s="6" t="s">
        <v>32</v>
      </c>
      <c r="E545" s="6" t="s">
        <v>28</v>
      </c>
      <c r="F545" s="6" t="str">
        <f>IF(E545="","Unknown",E545)</f>
        <v>Mobile</v>
      </c>
      <c r="G545" s="6" t="s">
        <v>45</v>
      </c>
      <c r="H545" s="6" t="str">
        <f>IF(G545="","Unknown",G545)</f>
        <v>Social</v>
      </c>
      <c r="I545" s="6" t="s">
        <v>34</v>
      </c>
      <c r="J545" s="6">
        <v>1</v>
      </c>
      <c r="K545" s="6">
        <v>1</v>
      </c>
      <c r="L545" s="6">
        <v>1</v>
      </c>
      <c r="M545" s="6">
        <v>0</v>
      </c>
      <c r="N545" s="6">
        <v>0</v>
      </c>
      <c r="O545" s="6">
        <v>0</v>
      </c>
      <c r="P545" s="6">
        <f>IF(O545&gt;0,1,0)</f>
        <v>0</v>
      </c>
      <c r="Q545" s="6">
        <v>0</v>
      </c>
      <c r="S545" s="6">
        <v>76.8</v>
      </c>
      <c r="T545" s="6">
        <f>IF(S545="",MEDIAN($S$2:$S$1409),S545)</f>
        <v>76.8</v>
      </c>
    </row>
    <row r="546" spans="1:20" ht="15" customHeight="1">
      <c r="A546" s="6" t="s">
        <v>580</v>
      </c>
      <c r="B546" s="7">
        <v>45658</v>
      </c>
      <c r="C546" s="6" t="s">
        <v>21</v>
      </c>
      <c r="D546" s="6" t="s">
        <v>36</v>
      </c>
      <c r="E546" s="6" t="s">
        <v>23</v>
      </c>
      <c r="F546" s="6" t="str">
        <f>IF(E546="","Unknown",E546)</f>
        <v>Desktop</v>
      </c>
      <c r="G546" s="6" t="s">
        <v>45</v>
      </c>
      <c r="H546" s="6" t="str">
        <f>IF(G546="","Unknown",G546)</f>
        <v>Social</v>
      </c>
      <c r="I546" s="6" t="s">
        <v>25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f>IF(O546&gt;0,1,0)</f>
        <v>0</v>
      </c>
      <c r="Q546" s="6">
        <v>0</v>
      </c>
      <c r="S546" s="6"/>
      <c r="T546" s="6">
        <f>IF(S546="",MEDIAN($S$2:$S$1409),S546)</f>
        <v>59.9</v>
      </c>
    </row>
    <row r="547" spans="1:20" ht="15" customHeight="1">
      <c r="A547" s="6" t="s">
        <v>581</v>
      </c>
      <c r="B547" s="7">
        <v>45734</v>
      </c>
      <c r="C547" s="6" t="s">
        <v>21</v>
      </c>
      <c r="D547" s="6" t="s">
        <v>32</v>
      </c>
      <c r="E547" s="6" t="s">
        <v>28</v>
      </c>
      <c r="F547" s="6" t="str">
        <f>IF(E547="","Unknown",E547)</f>
        <v>Mobile</v>
      </c>
      <c r="G547" s="6" t="s">
        <v>33</v>
      </c>
      <c r="H547" s="6" t="str">
        <f>IF(G547="","Unknown",G547)</f>
        <v>Paid Search</v>
      </c>
      <c r="I547" s="6" t="s">
        <v>25</v>
      </c>
      <c r="J547" s="6">
        <v>1</v>
      </c>
      <c r="K547" s="6">
        <v>1</v>
      </c>
      <c r="L547" s="6">
        <v>1</v>
      </c>
      <c r="M547" s="6">
        <v>0</v>
      </c>
      <c r="N547" s="6">
        <v>0</v>
      </c>
      <c r="O547" s="6">
        <v>0</v>
      </c>
      <c r="P547" s="6">
        <f>IF(O547&gt;0,1,0)</f>
        <v>0</v>
      </c>
      <c r="Q547" s="6">
        <v>0</v>
      </c>
      <c r="S547" s="6">
        <v>45.3</v>
      </c>
      <c r="T547" s="6">
        <f>IF(S547="",MEDIAN($S$2:$S$1409),S547)</f>
        <v>45.3</v>
      </c>
    </row>
    <row r="548" spans="1:20" ht="15" customHeight="1">
      <c r="A548" s="6" t="s">
        <v>582</v>
      </c>
      <c r="B548" s="7">
        <v>45797</v>
      </c>
      <c r="C548" s="6" t="s">
        <v>21</v>
      </c>
      <c r="D548" s="6" t="s">
        <v>22</v>
      </c>
      <c r="E548" s="6" t="s">
        <v>38</v>
      </c>
      <c r="F548" s="6" t="str">
        <f>IF(E548="","Unknown",E548)</f>
        <v>Tablet</v>
      </c>
      <c r="G548" s="6" t="s">
        <v>33</v>
      </c>
      <c r="H548" s="6" t="str">
        <f>IF(G548="","Unknown",G548)</f>
        <v>Paid Search</v>
      </c>
      <c r="I548" s="6" t="s">
        <v>30</v>
      </c>
      <c r="J548" s="6">
        <v>1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f>IF(O548&gt;0,1,0)</f>
        <v>0</v>
      </c>
      <c r="Q548" s="6">
        <v>0</v>
      </c>
      <c r="S548" s="6">
        <v>41.4</v>
      </c>
      <c r="T548" s="6">
        <f>IF(S548="",MEDIAN($S$2:$S$1409),S548)</f>
        <v>41.4</v>
      </c>
    </row>
    <row r="549" spans="1:20" ht="15" customHeight="1">
      <c r="A549" s="6" t="s">
        <v>583</v>
      </c>
      <c r="B549" s="7">
        <v>45732</v>
      </c>
      <c r="C549" s="6" t="s">
        <v>21</v>
      </c>
      <c r="D549" s="6" t="s">
        <v>22</v>
      </c>
      <c r="E549" s="6" t="s">
        <v>28</v>
      </c>
      <c r="F549" s="6" t="str">
        <f>IF(E549="","Unknown",E549)</f>
        <v>Mobile</v>
      </c>
      <c r="G549" s="6" t="s">
        <v>29</v>
      </c>
      <c r="H549" s="6" t="str">
        <f>IF(G549="","Unknown",G549)</f>
        <v>Organic</v>
      </c>
      <c r="I549" s="6" t="s">
        <v>25</v>
      </c>
      <c r="J549" s="6">
        <v>1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f>IF(O549&gt;0,1,0)</f>
        <v>0</v>
      </c>
      <c r="Q549" s="6">
        <v>0</v>
      </c>
      <c r="S549" s="6">
        <v>37.1</v>
      </c>
      <c r="T549" s="6">
        <f>IF(S549="",MEDIAN($S$2:$S$1409),S549)</f>
        <v>37.1</v>
      </c>
    </row>
    <row r="550" spans="1:20" ht="15" customHeight="1">
      <c r="A550" s="6" t="s">
        <v>584</v>
      </c>
      <c r="B550" s="7">
        <v>45807</v>
      </c>
      <c r="C550" s="6" t="s">
        <v>21</v>
      </c>
      <c r="D550" s="6" t="s">
        <v>32</v>
      </c>
      <c r="E550" s="6" t="s">
        <v>23</v>
      </c>
      <c r="F550" s="6" t="str">
        <f>IF(E550="","Unknown",E550)</f>
        <v>Desktop</v>
      </c>
      <c r="G550" s="6" t="s">
        <v>45</v>
      </c>
      <c r="H550" s="6" t="str">
        <f>IF(G550="","Unknown",G550)</f>
        <v>Social</v>
      </c>
      <c r="I550" s="6" t="s">
        <v>30</v>
      </c>
      <c r="J550" s="6">
        <v>1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f>IF(O550&gt;0,1,0)</f>
        <v>0</v>
      </c>
      <c r="Q550" s="6">
        <v>0</v>
      </c>
      <c r="S550" s="6">
        <v>40.700000000000003</v>
      </c>
      <c r="T550" s="6">
        <f>IF(S550="",MEDIAN($S$2:$S$1409),S550)</f>
        <v>40.700000000000003</v>
      </c>
    </row>
    <row r="551" spans="1:20" ht="15" customHeight="1">
      <c r="A551" s="6" t="s">
        <v>585</v>
      </c>
      <c r="B551" s="7">
        <v>45708</v>
      </c>
      <c r="C551" s="6" t="s">
        <v>21</v>
      </c>
      <c r="D551" s="6" t="s">
        <v>22</v>
      </c>
      <c r="E551" s="6" t="s">
        <v>28</v>
      </c>
      <c r="F551" s="6" t="str">
        <f>IF(E551="","Unknown",E551)</f>
        <v>Mobile</v>
      </c>
      <c r="G551" s="6" t="s">
        <v>45</v>
      </c>
      <c r="H551" s="6" t="str">
        <f>IF(G551="","Unknown",G551)</f>
        <v>Social</v>
      </c>
      <c r="I551" s="6" t="s">
        <v>34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2</v>
      </c>
      <c r="P551" s="6">
        <f>IF(O551&gt;0,1,0)</f>
        <v>1</v>
      </c>
      <c r="Q551" s="6">
        <v>0</v>
      </c>
      <c r="S551" s="6">
        <v>55.9</v>
      </c>
      <c r="T551" s="6">
        <f>IF(S551="",MEDIAN($S$2:$S$1409),S551)</f>
        <v>55.9</v>
      </c>
    </row>
    <row r="552" spans="1:20" ht="15" customHeight="1">
      <c r="A552" s="6" t="s">
        <v>586</v>
      </c>
      <c r="B552" s="7">
        <v>45699</v>
      </c>
      <c r="C552" s="6" t="s">
        <v>21</v>
      </c>
      <c r="D552" s="6" t="s">
        <v>32</v>
      </c>
      <c r="E552" s="6"/>
      <c r="F552" s="6" t="str">
        <f>IF(E552="","Unknown",E552)</f>
        <v>Unknown</v>
      </c>
      <c r="G552" s="6" t="s">
        <v>45</v>
      </c>
      <c r="H552" s="6" t="str">
        <f>IF(G552="","Unknown",G552)</f>
        <v>Social</v>
      </c>
      <c r="I552" s="6" t="s">
        <v>30</v>
      </c>
      <c r="J552" s="6">
        <v>1</v>
      </c>
      <c r="K552" s="6">
        <v>1</v>
      </c>
      <c r="L552" s="6">
        <v>0</v>
      </c>
      <c r="M552" s="6">
        <v>0</v>
      </c>
      <c r="N552" s="6">
        <v>0</v>
      </c>
      <c r="O552" s="6">
        <v>0</v>
      </c>
      <c r="P552" s="6">
        <f>IF(O552&gt;0,1,0)</f>
        <v>0</v>
      </c>
      <c r="Q552" s="6">
        <v>0</v>
      </c>
      <c r="S552" s="6">
        <v>55.8</v>
      </c>
      <c r="T552" s="6">
        <f>IF(S552="",MEDIAN($S$2:$S$1409),S552)</f>
        <v>55.8</v>
      </c>
    </row>
    <row r="553" spans="1:20" ht="15" customHeight="1">
      <c r="A553" s="6" t="s">
        <v>587</v>
      </c>
      <c r="B553" s="7">
        <v>45659</v>
      </c>
      <c r="C553" s="6" t="s">
        <v>21</v>
      </c>
      <c r="D553" s="6" t="s">
        <v>36</v>
      </c>
      <c r="E553" s="6" t="s">
        <v>38</v>
      </c>
      <c r="F553" s="6" t="str">
        <f>IF(E553="","Unknown",E553)</f>
        <v>Tablet</v>
      </c>
      <c r="G553" s="6" t="s">
        <v>43</v>
      </c>
      <c r="H553" s="6" t="str">
        <f>IF(G553="","Unknown",G553)</f>
        <v>Referral</v>
      </c>
      <c r="I553" s="6" t="s">
        <v>25</v>
      </c>
      <c r="J553" s="6">
        <v>1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f>IF(O553&gt;0,1,0)</f>
        <v>0</v>
      </c>
      <c r="Q553" s="6">
        <v>0</v>
      </c>
      <c r="S553" s="6">
        <v>64.3</v>
      </c>
      <c r="T553" s="6">
        <f>IF(S553="",MEDIAN($S$2:$S$1409),S553)</f>
        <v>64.3</v>
      </c>
    </row>
    <row r="554" spans="1:20" ht="15" customHeight="1">
      <c r="A554" s="6" t="s">
        <v>588</v>
      </c>
      <c r="B554" s="7">
        <v>45780</v>
      </c>
      <c r="C554" s="6" t="s">
        <v>21</v>
      </c>
      <c r="D554" s="6" t="s">
        <v>22</v>
      </c>
      <c r="E554" s="6" t="s">
        <v>28</v>
      </c>
      <c r="F554" s="6" t="str">
        <f>IF(E554="","Unknown",E554)</f>
        <v>Mobile</v>
      </c>
      <c r="G554" s="6" t="s">
        <v>29</v>
      </c>
      <c r="H554" s="6" t="str">
        <f>IF(G554="","Unknown",G554)</f>
        <v>Organic</v>
      </c>
      <c r="I554" s="6" t="s">
        <v>30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f>IF(O554&gt;0,1,0)</f>
        <v>0</v>
      </c>
      <c r="Q554" s="6">
        <v>0</v>
      </c>
      <c r="S554" s="6">
        <v>65.400000000000006</v>
      </c>
      <c r="T554" s="6">
        <f>IF(S554="",MEDIAN($S$2:$S$1409),S554)</f>
        <v>65.400000000000006</v>
      </c>
    </row>
    <row r="555" spans="1:20" ht="15" customHeight="1">
      <c r="A555" s="6" t="s">
        <v>589</v>
      </c>
      <c r="B555" s="7">
        <v>45712</v>
      </c>
      <c r="C555" s="6" t="s">
        <v>21</v>
      </c>
      <c r="D555" s="6" t="s">
        <v>27</v>
      </c>
      <c r="E555" s="6" t="s">
        <v>28</v>
      </c>
      <c r="F555" s="6" t="str">
        <f>IF(E555="","Unknown",E555)</f>
        <v>Mobile</v>
      </c>
      <c r="G555" s="6" t="s">
        <v>29</v>
      </c>
      <c r="H555" s="6" t="str">
        <f>IF(G555="","Unknown",G555)</f>
        <v>Organic</v>
      </c>
      <c r="I555" s="6" t="s">
        <v>30</v>
      </c>
      <c r="J555" s="6">
        <v>1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f>IF(O555&gt;0,1,0)</f>
        <v>0</v>
      </c>
      <c r="Q555" s="6">
        <v>0</v>
      </c>
      <c r="S555" s="6">
        <v>89.8</v>
      </c>
      <c r="T555" s="6">
        <f>IF(S555="",MEDIAN($S$2:$S$1409),S555)</f>
        <v>89.8</v>
      </c>
    </row>
    <row r="556" spans="1:20" ht="15" customHeight="1">
      <c r="A556" s="6" t="s">
        <v>590</v>
      </c>
      <c r="B556" s="7">
        <v>45699</v>
      </c>
      <c r="C556" s="6" t="s">
        <v>21</v>
      </c>
      <c r="D556" s="6" t="s">
        <v>36</v>
      </c>
      <c r="E556" s="6"/>
      <c r="F556" s="6" t="str">
        <f>IF(E556="","Unknown",E556)</f>
        <v>Unknown</v>
      </c>
      <c r="G556" s="6" t="s">
        <v>29</v>
      </c>
      <c r="H556" s="6" t="str">
        <f>IF(G556="","Unknown",G556)</f>
        <v>Organic</v>
      </c>
      <c r="I556" s="6" t="s">
        <v>30</v>
      </c>
      <c r="J556" s="6">
        <v>1</v>
      </c>
      <c r="K556" s="6">
        <v>1</v>
      </c>
      <c r="L556" s="6">
        <v>1</v>
      </c>
      <c r="M556" s="6">
        <v>0</v>
      </c>
      <c r="N556" s="6">
        <v>0</v>
      </c>
      <c r="O556" s="6">
        <v>0</v>
      </c>
      <c r="P556" s="6">
        <f>IF(O556&gt;0,1,0)</f>
        <v>0</v>
      </c>
      <c r="Q556" s="6">
        <v>0</v>
      </c>
      <c r="S556" s="6">
        <v>58.3</v>
      </c>
      <c r="T556" s="6">
        <f>IF(S556="",MEDIAN($S$2:$S$1409),S556)</f>
        <v>58.3</v>
      </c>
    </row>
    <row r="557" spans="1:20" ht="15" customHeight="1">
      <c r="A557" s="6" t="s">
        <v>591</v>
      </c>
      <c r="B557" s="7">
        <v>45783</v>
      </c>
      <c r="C557" s="6" t="s">
        <v>21</v>
      </c>
      <c r="D557" s="6" t="s">
        <v>36</v>
      </c>
      <c r="E557" s="6" t="s">
        <v>28</v>
      </c>
      <c r="F557" s="6" t="str">
        <f>IF(E557="","Unknown",E557)</f>
        <v>Mobile</v>
      </c>
      <c r="G557" s="6" t="s">
        <v>45</v>
      </c>
      <c r="H557" s="6" t="str">
        <f>IF(G557="","Unknown",G557)</f>
        <v>Social</v>
      </c>
      <c r="I557" s="6" t="s">
        <v>25</v>
      </c>
      <c r="J557" s="6">
        <v>1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f>IF(O557&gt;0,1,0)</f>
        <v>0</v>
      </c>
      <c r="Q557" s="6">
        <v>0</v>
      </c>
      <c r="S557" s="6">
        <v>64.400000000000006</v>
      </c>
      <c r="T557" s="6">
        <f>IF(S557="",MEDIAN($S$2:$S$1409),S557)</f>
        <v>64.400000000000006</v>
      </c>
    </row>
    <row r="558" spans="1:20" ht="15" customHeight="1">
      <c r="A558" s="6" t="s">
        <v>592</v>
      </c>
      <c r="B558" s="7">
        <v>45800</v>
      </c>
      <c r="C558" s="6" t="s">
        <v>21</v>
      </c>
      <c r="D558" s="6" t="s">
        <v>22</v>
      </c>
      <c r="E558" s="6" t="s">
        <v>28</v>
      </c>
      <c r="F558" s="6" t="str">
        <f>IF(E558="","Unknown",E558)</f>
        <v>Mobile</v>
      </c>
      <c r="G558" s="6" t="s">
        <v>33</v>
      </c>
      <c r="H558" s="6" t="str">
        <f>IF(G558="","Unknown",G558)</f>
        <v>Paid Search</v>
      </c>
      <c r="I558" s="6" t="s">
        <v>34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f>IF(O558&gt;0,1,0)</f>
        <v>0</v>
      </c>
      <c r="Q558" s="6">
        <v>0</v>
      </c>
      <c r="S558" s="6">
        <v>46.2</v>
      </c>
      <c r="T558" s="6">
        <f>IF(S558="",MEDIAN($S$2:$S$1409),S558)</f>
        <v>46.2</v>
      </c>
    </row>
    <row r="559" spans="1:20" ht="15" customHeight="1">
      <c r="A559" s="6" t="s">
        <v>593</v>
      </c>
      <c r="B559" s="7">
        <v>45666</v>
      </c>
      <c r="C559" s="6" t="s">
        <v>21</v>
      </c>
      <c r="D559" s="6" t="s">
        <v>22</v>
      </c>
      <c r="E559" s="6" t="s">
        <v>23</v>
      </c>
      <c r="F559" s="6" t="str">
        <f>IF(E559="","Unknown",E559)</f>
        <v>Desktop</v>
      </c>
      <c r="G559" s="6" t="s">
        <v>33</v>
      </c>
      <c r="H559" s="6" t="str">
        <f>IF(G559="","Unknown",G559)</f>
        <v>Paid Search</v>
      </c>
      <c r="I559" s="6" t="s">
        <v>30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f>IF(O559&gt;0,1,0)</f>
        <v>0</v>
      </c>
      <c r="Q559" s="6">
        <v>0</v>
      </c>
      <c r="S559" s="6">
        <v>78</v>
      </c>
      <c r="T559" s="6">
        <f>IF(S559="",MEDIAN($S$2:$S$1409),S559)</f>
        <v>78</v>
      </c>
    </row>
    <row r="560" spans="1:20" ht="15" customHeight="1">
      <c r="A560" s="6" t="s">
        <v>594</v>
      </c>
      <c r="B560" s="7">
        <v>45748</v>
      </c>
      <c r="C560" s="6" t="s">
        <v>21</v>
      </c>
      <c r="D560" s="6" t="s">
        <v>22</v>
      </c>
      <c r="E560" s="6" t="s">
        <v>23</v>
      </c>
      <c r="F560" s="6" t="str">
        <f>IF(E560="","Unknown",E560)</f>
        <v>Desktop</v>
      </c>
      <c r="G560" s="6" t="s">
        <v>29</v>
      </c>
      <c r="H560" s="6" t="str">
        <f>IF(G560="","Unknown",G560)</f>
        <v>Organic</v>
      </c>
      <c r="I560" s="6" t="s">
        <v>34</v>
      </c>
      <c r="J560" s="6">
        <v>1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f>IF(O560&gt;0,1,0)</f>
        <v>0</v>
      </c>
      <c r="Q560" s="6">
        <v>0</v>
      </c>
      <c r="S560" s="6">
        <v>62.3</v>
      </c>
      <c r="T560" s="6">
        <f>IF(S560="",MEDIAN($S$2:$S$1409),S560)</f>
        <v>62.3</v>
      </c>
    </row>
    <row r="561" spans="1:20" ht="15" customHeight="1">
      <c r="A561" s="6" t="s">
        <v>595</v>
      </c>
      <c r="B561" s="7">
        <v>45724</v>
      </c>
      <c r="C561" s="6" t="s">
        <v>21</v>
      </c>
      <c r="D561" s="6" t="s">
        <v>22</v>
      </c>
      <c r="E561" s="6" t="s">
        <v>28</v>
      </c>
      <c r="F561" s="6" t="str">
        <f>IF(E561="","Unknown",E561)</f>
        <v>Mobile</v>
      </c>
      <c r="G561" s="6" t="s">
        <v>29</v>
      </c>
      <c r="H561" s="6" t="str">
        <f>IF(G561="","Unknown",G561)</f>
        <v>Organic</v>
      </c>
      <c r="I561" s="6" t="s">
        <v>30</v>
      </c>
      <c r="J561" s="6">
        <v>1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f>IF(O561&gt;0,1,0)</f>
        <v>0</v>
      </c>
      <c r="Q561" s="6">
        <v>0</v>
      </c>
      <c r="S561" s="6">
        <v>78.8</v>
      </c>
      <c r="T561" s="6">
        <f>IF(S561="",MEDIAN($S$2:$S$1409),S561)</f>
        <v>78.8</v>
      </c>
    </row>
    <row r="562" spans="1:20" ht="15" customHeight="1">
      <c r="A562" s="6" t="s">
        <v>596</v>
      </c>
      <c r="B562" s="7">
        <v>45708</v>
      </c>
      <c r="C562" s="6" t="s">
        <v>21</v>
      </c>
      <c r="D562" s="6" t="s">
        <v>22</v>
      </c>
      <c r="E562" s="6" t="s">
        <v>28</v>
      </c>
      <c r="F562" s="6" t="str">
        <f>IF(E562="","Unknown",E562)</f>
        <v>Mobile</v>
      </c>
      <c r="G562" s="6" t="s">
        <v>45</v>
      </c>
      <c r="H562" s="6" t="str">
        <f>IF(G562="","Unknown",G562)</f>
        <v>Social</v>
      </c>
      <c r="I562" s="6" t="s">
        <v>25</v>
      </c>
      <c r="J562" s="6">
        <v>1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f>IF(O562&gt;0,1,0)</f>
        <v>0</v>
      </c>
      <c r="Q562" s="6">
        <v>0</v>
      </c>
      <c r="S562" s="6">
        <v>25</v>
      </c>
      <c r="T562" s="6">
        <f>IF(S562="",MEDIAN($S$2:$S$1409),S562)</f>
        <v>25</v>
      </c>
    </row>
    <row r="563" spans="1:20" ht="15" customHeight="1">
      <c r="A563" s="6" t="s">
        <v>597</v>
      </c>
      <c r="B563" s="7">
        <v>45746</v>
      </c>
      <c r="C563" s="6" t="s">
        <v>21</v>
      </c>
      <c r="D563" s="6" t="s">
        <v>32</v>
      </c>
      <c r="E563" s="6" t="s">
        <v>28</v>
      </c>
      <c r="F563" s="6" t="str">
        <f>IF(E563="","Unknown",E563)</f>
        <v>Mobile</v>
      </c>
      <c r="G563" s="6" t="s">
        <v>45</v>
      </c>
      <c r="H563" s="6" t="str">
        <f>IF(G563="","Unknown",G563)</f>
        <v>Social</v>
      </c>
      <c r="I563" s="6" t="s">
        <v>25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f>IF(O563&gt;0,1,0)</f>
        <v>0</v>
      </c>
      <c r="Q563" s="6">
        <v>0</v>
      </c>
      <c r="S563" s="6">
        <v>53.4</v>
      </c>
      <c r="T563" s="6">
        <f>IF(S563="",MEDIAN($S$2:$S$1409),S563)</f>
        <v>53.4</v>
      </c>
    </row>
    <row r="564" spans="1:20" ht="15" customHeight="1">
      <c r="A564" s="6" t="s">
        <v>598</v>
      </c>
      <c r="B564" s="7">
        <v>45757</v>
      </c>
      <c r="C564" s="6" t="s">
        <v>21</v>
      </c>
      <c r="D564" s="6" t="s">
        <v>32</v>
      </c>
      <c r="E564" s="6" t="s">
        <v>23</v>
      </c>
      <c r="F564" s="6" t="str">
        <f>IF(E564="","Unknown",E564)</f>
        <v>Desktop</v>
      </c>
      <c r="G564" s="6" t="s">
        <v>29</v>
      </c>
      <c r="H564" s="6" t="str">
        <f>IF(G564="","Unknown",G564)</f>
        <v>Organic</v>
      </c>
      <c r="I564" s="6" t="s">
        <v>25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f>IF(O564&gt;0,1,0)</f>
        <v>0</v>
      </c>
      <c r="Q564" s="6">
        <v>0</v>
      </c>
      <c r="S564" s="6">
        <v>40.700000000000003</v>
      </c>
      <c r="T564" s="6">
        <f>IF(S564="",MEDIAN($S$2:$S$1409),S564)</f>
        <v>40.700000000000003</v>
      </c>
    </row>
    <row r="565" spans="1:20" ht="15" customHeight="1">
      <c r="A565" s="6" t="s">
        <v>599</v>
      </c>
      <c r="B565" s="7">
        <v>45740</v>
      </c>
      <c r="C565" s="6" t="s">
        <v>21</v>
      </c>
      <c r="D565" s="6" t="s">
        <v>32</v>
      </c>
      <c r="E565" s="6" t="s">
        <v>28</v>
      </c>
      <c r="F565" s="6" t="str">
        <f>IF(E565="","Unknown",E565)</f>
        <v>Mobile</v>
      </c>
      <c r="G565" s="6" t="s">
        <v>29</v>
      </c>
      <c r="H565" s="6" t="str">
        <f>IF(G565="","Unknown",G565)</f>
        <v>Organic</v>
      </c>
      <c r="I565" s="6" t="s">
        <v>34</v>
      </c>
      <c r="J565" s="6">
        <v>1</v>
      </c>
      <c r="K565" s="6">
        <v>1</v>
      </c>
      <c r="L565" s="6">
        <v>0</v>
      </c>
      <c r="M565" s="6">
        <v>0</v>
      </c>
      <c r="N565" s="6">
        <v>0</v>
      </c>
      <c r="O565" s="6">
        <v>0</v>
      </c>
      <c r="P565" s="6">
        <f>IF(O565&gt;0,1,0)</f>
        <v>0</v>
      </c>
      <c r="Q565" s="6">
        <v>0</v>
      </c>
      <c r="S565" s="6">
        <v>36.700000000000003</v>
      </c>
      <c r="T565" s="6">
        <f>IF(S565="",MEDIAN($S$2:$S$1409),S565)</f>
        <v>36.700000000000003</v>
      </c>
    </row>
    <row r="566" spans="1:20" ht="15" customHeight="1">
      <c r="A566" s="6" t="s">
        <v>600</v>
      </c>
      <c r="B566" s="7">
        <v>45798</v>
      </c>
      <c r="C566" s="6" t="s">
        <v>21</v>
      </c>
      <c r="D566" s="6" t="s">
        <v>27</v>
      </c>
      <c r="E566" s="6" t="s">
        <v>28</v>
      </c>
      <c r="F566" s="6" t="str">
        <f>IF(E566="","Unknown",E566)</f>
        <v>Mobile</v>
      </c>
      <c r="G566" s="6" t="s">
        <v>29</v>
      </c>
      <c r="H566" s="6" t="str">
        <f>IF(G566="","Unknown",G566)</f>
        <v>Organic</v>
      </c>
      <c r="I566" s="6" t="s">
        <v>25</v>
      </c>
      <c r="J566" s="6">
        <v>1</v>
      </c>
      <c r="K566" s="6">
        <v>0</v>
      </c>
      <c r="L566" s="6">
        <v>0</v>
      </c>
      <c r="M566" s="6">
        <v>0</v>
      </c>
      <c r="N566" s="6">
        <v>0</v>
      </c>
      <c r="O566" s="6">
        <v>1</v>
      </c>
      <c r="P566" s="6">
        <f>IF(O566&gt;0,1,0)</f>
        <v>1</v>
      </c>
      <c r="Q566" s="6">
        <v>0</v>
      </c>
      <c r="S566" s="6">
        <v>67.5</v>
      </c>
      <c r="T566" s="6">
        <f>IF(S566="",MEDIAN($S$2:$S$1409),S566)</f>
        <v>67.5</v>
      </c>
    </row>
    <row r="567" spans="1:20" ht="15" customHeight="1">
      <c r="A567" s="6" t="s">
        <v>601</v>
      </c>
      <c r="B567" s="7">
        <v>45745</v>
      </c>
      <c r="C567" s="6" t="s">
        <v>21</v>
      </c>
      <c r="D567" s="6" t="s">
        <v>32</v>
      </c>
      <c r="E567" s="6" t="s">
        <v>28</v>
      </c>
      <c r="F567" s="6" t="str">
        <f>IF(E567="","Unknown",E567)</f>
        <v>Mobile</v>
      </c>
      <c r="G567" s="6" t="s">
        <v>45</v>
      </c>
      <c r="H567" s="6" t="str">
        <f>IF(G567="","Unknown",G567)</f>
        <v>Social</v>
      </c>
      <c r="I567" s="6" t="s">
        <v>34</v>
      </c>
      <c r="J567" s="6">
        <v>1</v>
      </c>
      <c r="K567" s="6">
        <v>1</v>
      </c>
      <c r="L567" s="6">
        <v>1</v>
      </c>
      <c r="M567" s="6">
        <v>0</v>
      </c>
      <c r="N567" s="6">
        <v>0</v>
      </c>
      <c r="O567" s="6">
        <v>0</v>
      </c>
      <c r="P567" s="6">
        <f>IF(O567&gt;0,1,0)</f>
        <v>0</v>
      </c>
      <c r="Q567" s="6">
        <v>0</v>
      </c>
      <c r="S567" s="6">
        <v>69.900000000000006</v>
      </c>
      <c r="T567" s="6">
        <f>IF(S567="",MEDIAN($S$2:$S$1409),S567)</f>
        <v>69.900000000000006</v>
      </c>
    </row>
    <row r="568" spans="1:20" ht="15" customHeight="1">
      <c r="A568" s="6" t="s">
        <v>602</v>
      </c>
      <c r="B568" s="7">
        <v>45711</v>
      </c>
      <c r="C568" s="6" t="s">
        <v>21</v>
      </c>
      <c r="D568" s="6" t="s">
        <v>22</v>
      </c>
      <c r="E568" s="6" t="s">
        <v>38</v>
      </c>
      <c r="F568" s="6" t="str">
        <f>IF(E568="","Unknown",E568)</f>
        <v>Tablet</v>
      </c>
      <c r="G568" s="6" t="s">
        <v>43</v>
      </c>
      <c r="H568" s="6" t="str">
        <f>IF(G568="","Unknown",G568)</f>
        <v>Referral</v>
      </c>
      <c r="I568" s="6" t="s">
        <v>25</v>
      </c>
      <c r="J568" s="6">
        <v>1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f>IF(O568&gt;0,1,0)</f>
        <v>0</v>
      </c>
      <c r="Q568" s="6">
        <v>0</v>
      </c>
      <c r="S568" s="6">
        <v>65.099999999999994</v>
      </c>
      <c r="T568" s="6">
        <f>IF(S568="",MEDIAN($S$2:$S$1409),S568)</f>
        <v>65.099999999999994</v>
      </c>
    </row>
    <row r="569" spans="1:20" ht="15" customHeight="1">
      <c r="A569" s="6" t="s">
        <v>603</v>
      </c>
      <c r="B569" s="7">
        <v>45704</v>
      </c>
      <c r="C569" s="6" t="s">
        <v>21</v>
      </c>
      <c r="D569" s="6" t="s">
        <v>27</v>
      </c>
      <c r="E569" s="6" t="s">
        <v>28</v>
      </c>
      <c r="F569" s="6" t="str">
        <f>IF(E569="","Unknown",E569)</f>
        <v>Mobile</v>
      </c>
      <c r="G569" s="6" t="s">
        <v>33</v>
      </c>
      <c r="H569" s="6" t="str">
        <f>IF(G569="","Unknown",G569)</f>
        <v>Paid Search</v>
      </c>
      <c r="I569" s="6" t="s">
        <v>34</v>
      </c>
      <c r="J569" s="6">
        <v>1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f>IF(O569&gt;0,1,0)</f>
        <v>0</v>
      </c>
      <c r="Q569" s="6">
        <v>0</v>
      </c>
      <c r="S569" s="6">
        <v>48.7</v>
      </c>
      <c r="T569" s="6">
        <f>IF(S569="",MEDIAN($S$2:$S$1409),S569)</f>
        <v>48.7</v>
      </c>
    </row>
    <row r="570" spans="1:20" ht="15" customHeight="1">
      <c r="A570" s="6" t="s">
        <v>604</v>
      </c>
      <c r="B570" s="7">
        <v>45709</v>
      </c>
      <c r="C570" s="6" t="s">
        <v>21</v>
      </c>
      <c r="D570" s="6" t="s">
        <v>27</v>
      </c>
      <c r="E570" s="6" t="s">
        <v>23</v>
      </c>
      <c r="F570" s="6" t="str">
        <f>IF(E570="","Unknown",E570)</f>
        <v>Desktop</v>
      </c>
      <c r="G570" s="6" t="s">
        <v>29</v>
      </c>
      <c r="H570" s="6" t="str">
        <f>IF(G570="","Unknown",G570)</f>
        <v>Organic</v>
      </c>
      <c r="I570" s="6" t="s">
        <v>25</v>
      </c>
      <c r="J570" s="6">
        <v>1</v>
      </c>
      <c r="K570" s="6">
        <v>1</v>
      </c>
      <c r="L570" s="6">
        <v>0</v>
      </c>
      <c r="M570" s="6">
        <v>0</v>
      </c>
      <c r="N570" s="6">
        <v>0</v>
      </c>
      <c r="O570" s="6">
        <v>0</v>
      </c>
      <c r="P570" s="6">
        <f>IF(O570&gt;0,1,0)</f>
        <v>0</v>
      </c>
      <c r="Q570" s="6">
        <v>0</v>
      </c>
      <c r="S570" s="6">
        <v>47.2</v>
      </c>
      <c r="T570" s="6">
        <f>IF(S570="",MEDIAN($S$2:$S$1409),S570)</f>
        <v>47.2</v>
      </c>
    </row>
    <row r="571" spans="1:20" ht="15" customHeight="1">
      <c r="A571" s="6" t="s">
        <v>605</v>
      </c>
      <c r="B571" s="7">
        <v>45664</v>
      </c>
      <c r="C571" s="6" t="s">
        <v>21</v>
      </c>
      <c r="D571" s="6" t="s">
        <v>22</v>
      </c>
      <c r="E571" s="6" t="s">
        <v>28</v>
      </c>
      <c r="F571" s="6" t="str">
        <f>IF(E571="","Unknown",E571)</f>
        <v>Mobile</v>
      </c>
      <c r="G571" s="6" t="s">
        <v>43</v>
      </c>
      <c r="H571" s="6" t="str">
        <f>IF(G571="","Unknown",G571)</f>
        <v>Referral</v>
      </c>
      <c r="I571" s="6" t="s">
        <v>30</v>
      </c>
      <c r="J571" s="6">
        <v>1</v>
      </c>
      <c r="K571" s="6">
        <v>0</v>
      </c>
      <c r="L571" s="6">
        <v>0</v>
      </c>
      <c r="M571" s="6">
        <v>0</v>
      </c>
      <c r="N571" s="6">
        <v>0</v>
      </c>
      <c r="O571" s="6">
        <v>2</v>
      </c>
      <c r="P571" s="6">
        <f>IF(O571&gt;0,1,0)</f>
        <v>1</v>
      </c>
      <c r="Q571" s="6">
        <v>0</v>
      </c>
      <c r="S571" s="6">
        <v>20.3</v>
      </c>
      <c r="T571" s="6">
        <f>IF(S571="",MEDIAN($S$2:$S$1409),S571)</f>
        <v>20.3</v>
      </c>
    </row>
    <row r="572" spans="1:20" ht="15" customHeight="1">
      <c r="A572" s="6" t="s">
        <v>606</v>
      </c>
      <c r="B572" s="7">
        <v>45722</v>
      </c>
      <c r="C572" s="6" t="s">
        <v>21</v>
      </c>
      <c r="D572" s="6" t="s">
        <v>27</v>
      </c>
      <c r="E572" s="6" t="s">
        <v>28</v>
      </c>
      <c r="F572" s="6" t="str">
        <f>IF(E572="","Unknown",E572)</f>
        <v>Mobile</v>
      </c>
      <c r="G572" s="6" t="s">
        <v>33</v>
      </c>
      <c r="H572" s="6" t="str">
        <f>IF(G572="","Unknown",G572)</f>
        <v>Paid Search</v>
      </c>
      <c r="I572" s="6" t="s">
        <v>30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1</v>
      </c>
      <c r="P572" s="6">
        <f>IF(O572&gt;0,1,0)</f>
        <v>1</v>
      </c>
      <c r="Q572" s="6">
        <v>0</v>
      </c>
      <c r="S572" s="6">
        <v>57.8</v>
      </c>
      <c r="T572" s="6">
        <f>IF(S572="",MEDIAN($S$2:$S$1409),S572)</f>
        <v>57.8</v>
      </c>
    </row>
    <row r="573" spans="1:20" ht="15" customHeight="1">
      <c r="A573" s="6" t="s">
        <v>607</v>
      </c>
      <c r="B573" s="7">
        <v>45746</v>
      </c>
      <c r="C573" s="6" t="s">
        <v>21</v>
      </c>
      <c r="D573" s="6" t="s">
        <v>32</v>
      </c>
      <c r="E573" s="6" t="s">
        <v>28</v>
      </c>
      <c r="F573" s="6" t="str">
        <f>IF(E573="","Unknown",E573)</f>
        <v>Mobile</v>
      </c>
      <c r="G573" s="6" t="s">
        <v>24</v>
      </c>
      <c r="H573" s="6" t="str">
        <f>IF(G573="","Unknown",G573)</f>
        <v>Email</v>
      </c>
      <c r="I573" s="6" t="s">
        <v>25</v>
      </c>
      <c r="J573" s="6">
        <v>1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f>IF(O573&gt;0,1,0)</f>
        <v>0</v>
      </c>
      <c r="Q573" s="6">
        <v>0</v>
      </c>
      <c r="S573" s="6">
        <v>78.7</v>
      </c>
      <c r="T573" s="6">
        <f>IF(S573="",MEDIAN($S$2:$S$1409),S573)</f>
        <v>78.7</v>
      </c>
    </row>
    <row r="574" spans="1:20" ht="15" customHeight="1">
      <c r="A574" s="6" t="s">
        <v>608</v>
      </c>
      <c r="B574" s="7">
        <v>45808</v>
      </c>
      <c r="C574" s="6" t="s">
        <v>21</v>
      </c>
      <c r="D574" s="6" t="s">
        <v>36</v>
      </c>
      <c r="E574" s="6" t="s">
        <v>23</v>
      </c>
      <c r="F574" s="6" t="str">
        <f>IF(E574="","Unknown",E574)</f>
        <v>Desktop</v>
      </c>
      <c r="G574" s="6" t="s">
        <v>29</v>
      </c>
      <c r="H574" s="6" t="str">
        <f>IF(G574="","Unknown",G574)</f>
        <v>Organic</v>
      </c>
      <c r="I574" s="6" t="s">
        <v>30</v>
      </c>
      <c r="J574" s="6">
        <v>1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f>IF(O574&gt;0,1,0)</f>
        <v>0</v>
      </c>
      <c r="Q574" s="6">
        <v>0</v>
      </c>
      <c r="S574" s="6">
        <v>63.6</v>
      </c>
      <c r="T574" s="6">
        <f>IF(S574="",MEDIAN($S$2:$S$1409),S574)</f>
        <v>63.6</v>
      </c>
    </row>
    <row r="575" spans="1:20" ht="15" customHeight="1">
      <c r="A575" s="6" t="s">
        <v>609</v>
      </c>
      <c r="B575" s="7">
        <v>45708</v>
      </c>
      <c r="C575" s="6" t="s">
        <v>21</v>
      </c>
      <c r="D575" s="6" t="s">
        <v>36</v>
      </c>
      <c r="E575" s="6" t="s">
        <v>28</v>
      </c>
      <c r="F575" s="6" t="str">
        <f>IF(E575="","Unknown",E575)</f>
        <v>Mobile</v>
      </c>
      <c r="G575" s="6" t="s">
        <v>24</v>
      </c>
      <c r="H575" s="6" t="str">
        <f>IF(G575="","Unknown",G575)</f>
        <v>Email</v>
      </c>
      <c r="I575" s="6" t="s">
        <v>30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2</v>
      </c>
      <c r="P575" s="6">
        <f>IF(O575&gt;0,1,0)</f>
        <v>1</v>
      </c>
      <c r="Q575" s="6">
        <v>0</v>
      </c>
      <c r="S575" s="6">
        <v>45.1</v>
      </c>
      <c r="T575" s="6">
        <f>IF(S575="",MEDIAN($S$2:$S$1409),S575)</f>
        <v>45.1</v>
      </c>
    </row>
    <row r="576" spans="1:20" ht="15" customHeight="1">
      <c r="A576" s="6" t="s">
        <v>610</v>
      </c>
      <c r="B576" s="7">
        <v>45670</v>
      </c>
      <c r="C576" s="6" t="s">
        <v>21</v>
      </c>
      <c r="D576" s="6" t="s">
        <v>27</v>
      </c>
      <c r="E576" s="6" t="s">
        <v>28</v>
      </c>
      <c r="F576" s="6" t="str">
        <f>IF(E576="","Unknown",E576)</f>
        <v>Mobile</v>
      </c>
      <c r="G576" s="6" t="s">
        <v>45</v>
      </c>
      <c r="H576" s="6" t="str">
        <f>IF(G576="","Unknown",G576)</f>
        <v>Social</v>
      </c>
      <c r="I576" s="6" t="s">
        <v>30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f>IF(O576&gt;0,1,0)</f>
        <v>0</v>
      </c>
      <c r="Q576" s="6">
        <v>0</v>
      </c>
      <c r="S576" s="6">
        <v>77.5</v>
      </c>
      <c r="T576" s="6">
        <f>IF(S576="",MEDIAN($S$2:$S$1409),S576)</f>
        <v>77.5</v>
      </c>
    </row>
    <row r="577" spans="1:20" ht="15" customHeight="1">
      <c r="A577" s="6" t="s">
        <v>611</v>
      </c>
      <c r="B577" s="7">
        <v>45790</v>
      </c>
      <c r="C577" s="6" t="s">
        <v>21</v>
      </c>
      <c r="D577" s="6" t="s">
        <v>32</v>
      </c>
      <c r="E577" s="6" t="s">
        <v>23</v>
      </c>
      <c r="F577" s="6" t="str">
        <f>IF(E577="","Unknown",E577)</f>
        <v>Desktop</v>
      </c>
      <c r="G577" s="6" t="s">
        <v>33</v>
      </c>
      <c r="H577" s="6" t="str">
        <f>IF(G577="","Unknown",G577)</f>
        <v>Paid Search</v>
      </c>
      <c r="I577" s="6" t="s">
        <v>25</v>
      </c>
      <c r="J577" s="6">
        <v>1</v>
      </c>
      <c r="K577" s="6">
        <v>1</v>
      </c>
      <c r="L577" s="6">
        <v>0</v>
      </c>
      <c r="M577" s="6">
        <v>0</v>
      </c>
      <c r="N577" s="6">
        <v>0</v>
      </c>
      <c r="O577" s="6">
        <v>0</v>
      </c>
      <c r="P577" s="6">
        <f>IF(O577&gt;0,1,0)</f>
        <v>0</v>
      </c>
      <c r="Q577" s="6">
        <v>0</v>
      </c>
      <c r="S577" s="6">
        <v>58</v>
      </c>
      <c r="T577" s="6">
        <f>IF(S577="",MEDIAN($S$2:$S$1409),S577)</f>
        <v>58</v>
      </c>
    </row>
    <row r="578" spans="1:20" ht="15" customHeight="1">
      <c r="A578" s="6" t="s">
        <v>612</v>
      </c>
      <c r="B578" s="7">
        <v>45768</v>
      </c>
      <c r="C578" s="6" t="s">
        <v>21</v>
      </c>
      <c r="D578" s="6" t="s">
        <v>36</v>
      </c>
      <c r="E578" s="6" t="s">
        <v>38</v>
      </c>
      <c r="F578" s="6" t="str">
        <f>IF(E578="","Unknown",E578)</f>
        <v>Tablet</v>
      </c>
      <c r="G578" s="6" t="s">
        <v>29</v>
      </c>
      <c r="H578" s="6" t="str">
        <f>IF(G578="","Unknown",G578)</f>
        <v>Organic</v>
      </c>
      <c r="I578" s="6" t="s">
        <v>30</v>
      </c>
      <c r="J578" s="6">
        <v>1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f>IF(O578&gt;0,1,0)</f>
        <v>0</v>
      </c>
      <c r="Q578" s="6">
        <v>0</v>
      </c>
      <c r="S578" s="6">
        <v>68.099999999999994</v>
      </c>
      <c r="T578" s="6">
        <f>IF(S578="",MEDIAN($S$2:$S$1409),S578)</f>
        <v>68.099999999999994</v>
      </c>
    </row>
    <row r="579" spans="1:20" ht="15" customHeight="1">
      <c r="A579" s="6" t="s">
        <v>613</v>
      </c>
      <c r="B579" s="7">
        <v>45717</v>
      </c>
      <c r="C579" s="6" t="s">
        <v>21</v>
      </c>
      <c r="D579" s="6" t="s">
        <v>32</v>
      </c>
      <c r="E579" s="6" t="s">
        <v>38</v>
      </c>
      <c r="F579" s="6" t="str">
        <f>IF(E579="","Unknown",E579)</f>
        <v>Tablet</v>
      </c>
      <c r="G579" s="6" t="s">
        <v>29</v>
      </c>
      <c r="H579" s="6" t="str">
        <f>IF(G579="","Unknown",G579)</f>
        <v>Organic</v>
      </c>
      <c r="I579" s="6" t="s">
        <v>34</v>
      </c>
      <c r="J579" s="6">
        <v>1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f>IF(O579&gt;0,1,0)</f>
        <v>0</v>
      </c>
      <c r="Q579" s="6">
        <v>0</v>
      </c>
      <c r="S579" s="6">
        <v>35.4</v>
      </c>
      <c r="T579" s="6">
        <f>IF(S579="",MEDIAN($S$2:$S$1409),S579)</f>
        <v>35.4</v>
      </c>
    </row>
    <row r="580" spans="1:20" ht="15" customHeight="1">
      <c r="A580" s="6" t="s">
        <v>614</v>
      </c>
      <c r="B580" s="7">
        <v>45726</v>
      </c>
      <c r="C580" s="6" t="s">
        <v>21</v>
      </c>
      <c r="D580" s="6" t="s">
        <v>27</v>
      </c>
      <c r="E580" s="6" t="s">
        <v>38</v>
      </c>
      <c r="F580" s="6" t="str">
        <f>IF(E580="","Unknown",E580)</f>
        <v>Tablet</v>
      </c>
      <c r="G580" s="6" t="s">
        <v>29</v>
      </c>
      <c r="H580" s="6" t="str">
        <f>IF(G580="","Unknown",G580)</f>
        <v>Organic</v>
      </c>
      <c r="I580" s="6" t="s">
        <v>30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f>IF(O580&gt;0,1,0)</f>
        <v>0</v>
      </c>
      <c r="Q580" s="6">
        <v>0</v>
      </c>
      <c r="S580" s="6">
        <v>47</v>
      </c>
      <c r="T580" s="6">
        <f>IF(S580="",MEDIAN($S$2:$S$1409),S580)</f>
        <v>47</v>
      </c>
    </row>
    <row r="581" spans="1:20" ht="15" customHeight="1">
      <c r="A581" s="6" t="s">
        <v>615</v>
      </c>
      <c r="B581" s="7">
        <v>45724</v>
      </c>
      <c r="C581" s="6" t="s">
        <v>21</v>
      </c>
      <c r="D581" s="6" t="s">
        <v>32</v>
      </c>
      <c r="E581" s="6" t="s">
        <v>23</v>
      </c>
      <c r="F581" s="6" t="str">
        <f>IF(E581="","Unknown",E581)</f>
        <v>Desktop</v>
      </c>
      <c r="G581" s="6" t="s">
        <v>33</v>
      </c>
      <c r="H581" s="6" t="str">
        <f>IF(G581="","Unknown",G581)</f>
        <v>Paid Search</v>
      </c>
      <c r="I581" s="6" t="s">
        <v>30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f>IF(O581&gt;0,1,0)</f>
        <v>0</v>
      </c>
      <c r="Q581" s="6">
        <v>0</v>
      </c>
      <c r="S581" s="6">
        <v>75</v>
      </c>
      <c r="T581" s="6">
        <f>IF(S581="",MEDIAN($S$2:$S$1409),S581)</f>
        <v>75</v>
      </c>
    </row>
    <row r="582" spans="1:20" ht="15" customHeight="1">
      <c r="A582" s="6" t="s">
        <v>616</v>
      </c>
      <c r="B582" s="7">
        <v>45803</v>
      </c>
      <c r="C582" s="6" t="s">
        <v>21</v>
      </c>
      <c r="D582" s="6" t="s">
        <v>36</v>
      </c>
      <c r="E582" s="6" t="s">
        <v>23</v>
      </c>
      <c r="F582" s="6" t="str">
        <f>IF(E582="","Unknown",E582)</f>
        <v>Desktop</v>
      </c>
      <c r="G582" s="6" t="s">
        <v>33</v>
      </c>
      <c r="H582" s="6" t="str">
        <f>IF(G582="","Unknown",G582)</f>
        <v>Paid Search</v>
      </c>
      <c r="I582" s="6" t="s">
        <v>30</v>
      </c>
      <c r="J582" s="6">
        <v>1</v>
      </c>
      <c r="K582" s="6">
        <v>1</v>
      </c>
      <c r="L582" s="6">
        <v>1</v>
      </c>
      <c r="M582" s="6">
        <v>0</v>
      </c>
      <c r="N582" s="6">
        <v>0</v>
      </c>
      <c r="O582" s="6">
        <v>3</v>
      </c>
      <c r="P582" s="6">
        <f>IF(O582&gt;0,1,0)</f>
        <v>1</v>
      </c>
      <c r="Q582" s="6">
        <v>0</v>
      </c>
      <c r="S582" s="6">
        <v>50.2</v>
      </c>
      <c r="T582" s="6">
        <f>IF(S582="",MEDIAN($S$2:$S$1409),S582)</f>
        <v>50.2</v>
      </c>
    </row>
    <row r="583" spans="1:20" ht="15" customHeight="1">
      <c r="A583" s="6" t="s">
        <v>617</v>
      </c>
      <c r="B583" s="7">
        <v>45797</v>
      </c>
      <c r="C583" s="6" t="s">
        <v>21</v>
      </c>
      <c r="D583" s="6" t="s">
        <v>32</v>
      </c>
      <c r="E583" s="6" t="s">
        <v>23</v>
      </c>
      <c r="F583" s="6" t="str">
        <f>IF(E583="","Unknown",E583)</f>
        <v>Desktop</v>
      </c>
      <c r="G583" s="6" t="s">
        <v>33</v>
      </c>
      <c r="H583" s="6" t="str">
        <f>IF(G583="","Unknown",G583)</f>
        <v>Paid Search</v>
      </c>
      <c r="I583" s="6" t="s">
        <v>30</v>
      </c>
      <c r="J583" s="6">
        <v>1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f>IF(O583&gt;0,1,0)</f>
        <v>0</v>
      </c>
      <c r="Q583" s="6">
        <v>0</v>
      </c>
      <c r="S583" s="6">
        <v>40.1</v>
      </c>
      <c r="T583" s="6">
        <f>IF(S583="",MEDIAN($S$2:$S$1409),S583)</f>
        <v>40.1</v>
      </c>
    </row>
    <row r="584" spans="1:20" ht="15" customHeight="1">
      <c r="A584" s="6" t="s">
        <v>618</v>
      </c>
      <c r="B584" s="7">
        <v>45738</v>
      </c>
      <c r="C584" s="6" t="s">
        <v>21</v>
      </c>
      <c r="D584" s="6" t="s">
        <v>27</v>
      </c>
      <c r="E584" s="6" t="s">
        <v>23</v>
      </c>
      <c r="F584" s="6" t="str">
        <f>IF(E584="","Unknown",E584)</f>
        <v>Desktop</v>
      </c>
      <c r="G584" s="6" t="s">
        <v>33</v>
      </c>
      <c r="H584" s="6" t="str">
        <f>IF(G584="","Unknown",G584)</f>
        <v>Paid Search</v>
      </c>
      <c r="I584" s="6" t="s">
        <v>30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f>IF(O584&gt;0,1,0)</f>
        <v>0</v>
      </c>
      <c r="Q584" s="6">
        <v>0</v>
      </c>
      <c r="S584" s="6">
        <v>61.1</v>
      </c>
      <c r="T584" s="6">
        <f>IF(S584="",MEDIAN($S$2:$S$1409),S584)</f>
        <v>61.1</v>
      </c>
    </row>
    <row r="585" spans="1:20" ht="15" customHeight="1">
      <c r="A585" s="6" t="s">
        <v>619</v>
      </c>
      <c r="B585" s="7">
        <v>45703</v>
      </c>
      <c r="C585" s="6" t="s">
        <v>21</v>
      </c>
      <c r="D585" s="6" t="s">
        <v>36</v>
      </c>
      <c r="E585" s="6" t="s">
        <v>23</v>
      </c>
      <c r="F585" s="6" t="str">
        <f>IF(E585="","Unknown",E585)</f>
        <v>Desktop</v>
      </c>
      <c r="G585" s="6" t="s">
        <v>33</v>
      </c>
      <c r="H585" s="6" t="str">
        <f>IF(G585="","Unknown",G585)</f>
        <v>Paid Search</v>
      </c>
      <c r="I585" s="6" t="s">
        <v>30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f>IF(O585&gt;0,1,0)</f>
        <v>0</v>
      </c>
      <c r="Q585" s="6">
        <v>0</v>
      </c>
      <c r="S585" s="6">
        <v>42.4</v>
      </c>
      <c r="T585" s="6">
        <f>IF(S585="",MEDIAN($S$2:$S$1409),S585)</f>
        <v>42.4</v>
      </c>
    </row>
    <row r="586" spans="1:20" ht="15" customHeight="1">
      <c r="A586" s="6" t="s">
        <v>620</v>
      </c>
      <c r="B586" s="7">
        <v>45665</v>
      </c>
      <c r="C586" s="6" t="s">
        <v>21</v>
      </c>
      <c r="D586" s="6" t="s">
        <v>22</v>
      </c>
      <c r="E586" s="6" t="s">
        <v>28</v>
      </c>
      <c r="F586" s="6" t="str">
        <f>IF(E586="","Unknown",E586)</f>
        <v>Mobile</v>
      </c>
      <c r="G586" s="6" t="s">
        <v>45</v>
      </c>
      <c r="H586" s="6" t="str">
        <f>IF(G586="","Unknown",G586)</f>
        <v>Social</v>
      </c>
      <c r="I586" s="6" t="s">
        <v>30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1</v>
      </c>
      <c r="P586" s="6">
        <f>IF(O586&gt;0,1,0)</f>
        <v>1</v>
      </c>
      <c r="Q586" s="6">
        <v>0</v>
      </c>
      <c r="S586" s="6">
        <v>46.6</v>
      </c>
      <c r="T586" s="6">
        <f>IF(S586="",MEDIAN($S$2:$S$1409),S586)</f>
        <v>46.6</v>
      </c>
    </row>
    <row r="587" spans="1:20" ht="15" customHeight="1">
      <c r="A587" s="6" t="s">
        <v>621</v>
      </c>
      <c r="B587" s="7">
        <v>45686</v>
      </c>
      <c r="C587" s="6" t="s">
        <v>21</v>
      </c>
      <c r="D587" s="6" t="s">
        <v>36</v>
      </c>
      <c r="E587" s="6" t="s">
        <v>28</v>
      </c>
      <c r="F587" s="6" t="str">
        <f>IF(E587="","Unknown",E587)</f>
        <v>Mobile</v>
      </c>
      <c r="G587" s="6" t="s">
        <v>29</v>
      </c>
      <c r="H587" s="6" t="str">
        <f>IF(G587="","Unknown",G587)</f>
        <v>Organic</v>
      </c>
      <c r="I587" s="6" t="s">
        <v>34</v>
      </c>
      <c r="J587" s="6">
        <v>1</v>
      </c>
      <c r="K587" s="6">
        <v>1</v>
      </c>
      <c r="L587" s="6">
        <v>0</v>
      </c>
      <c r="M587" s="6">
        <v>0</v>
      </c>
      <c r="N587" s="6">
        <v>0</v>
      </c>
      <c r="O587" s="6">
        <v>0</v>
      </c>
      <c r="P587" s="6">
        <f>IF(O587&gt;0,1,0)</f>
        <v>0</v>
      </c>
      <c r="Q587" s="6">
        <v>0</v>
      </c>
      <c r="S587" s="6">
        <v>72.099999999999994</v>
      </c>
      <c r="T587" s="6">
        <f>IF(S587="",MEDIAN($S$2:$S$1409),S587)</f>
        <v>72.099999999999994</v>
      </c>
    </row>
    <row r="588" spans="1:20" ht="15" customHeight="1">
      <c r="A588" s="6" t="s">
        <v>622</v>
      </c>
      <c r="B588" s="7">
        <v>45784</v>
      </c>
      <c r="C588" s="6" t="s">
        <v>21</v>
      </c>
      <c r="D588" s="6" t="s">
        <v>32</v>
      </c>
      <c r="E588" s="6" t="s">
        <v>38</v>
      </c>
      <c r="F588" s="6" t="str">
        <f>IF(E588="","Unknown",E588)</f>
        <v>Tablet</v>
      </c>
      <c r="G588" s="6" t="s">
        <v>29</v>
      </c>
      <c r="H588" s="6" t="str">
        <f>IF(G588="","Unknown",G588)</f>
        <v>Organic</v>
      </c>
      <c r="I588" s="6" t="s">
        <v>30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f>IF(O588&gt;0,1,0)</f>
        <v>0</v>
      </c>
      <c r="Q588" s="6">
        <v>0</v>
      </c>
      <c r="S588" s="6">
        <v>21.5</v>
      </c>
      <c r="T588" s="6">
        <f>IF(S588="",MEDIAN($S$2:$S$1409),S588)</f>
        <v>21.5</v>
      </c>
    </row>
    <row r="589" spans="1:20" ht="15" customHeight="1">
      <c r="A589" s="6" t="s">
        <v>623</v>
      </c>
      <c r="B589" s="7">
        <v>45717</v>
      </c>
      <c r="C589" s="6" t="s">
        <v>21</v>
      </c>
      <c r="D589" s="6" t="s">
        <v>22</v>
      </c>
      <c r="E589" s="6" t="s">
        <v>28</v>
      </c>
      <c r="F589" s="6" t="str">
        <f>IF(E589="","Unknown",E589)</f>
        <v>Mobile</v>
      </c>
      <c r="G589" s="6" t="s">
        <v>45</v>
      </c>
      <c r="H589" s="6" t="str">
        <f>IF(G589="","Unknown",G589)</f>
        <v>Social</v>
      </c>
      <c r="I589" s="6" t="s">
        <v>25</v>
      </c>
      <c r="J589" s="6">
        <v>1</v>
      </c>
      <c r="K589" s="6">
        <v>0</v>
      </c>
      <c r="L589" s="6">
        <v>0</v>
      </c>
      <c r="M589" s="6">
        <v>0</v>
      </c>
      <c r="N589" s="6">
        <v>0</v>
      </c>
      <c r="O589" s="6">
        <v>1</v>
      </c>
      <c r="P589" s="6">
        <f>IF(O589&gt;0,1,0)</f>
        <v>1</v>
      </c>
      <c r="Q589" s="6">
        <v>0</v>
      </c>
      <c r="S589" s="6">
        <v>65.400000000000006</v>
      </c>
      <c r="T589" s="6">
        <f>IF(S589="",MEDIAN($S$2:$S$1409),S589)</f>
        <v>65.400000000000006</v>
      </c>
    </row>
    <row r="590" spans="1:20" ht="15" customHeight="1">
      <c r="A590" s="6" t="s">
        <v>624</v>
      </c>
      <c r="B590" s="7">
        <v>45767</v>
      </c>
      <c r="C590" s="6" t="s">
        <v>21</v>
      </c>
      <c r="D590" s="6" t="s">
        <v>32</v>
      </c>
      <c r="E590" s="6" t="s">
        <v>28</v>
      </c>
      <c r="F590" s="6" t="str">
        <f>IF(E590="","Unknown",E590)</f>
        <v>Mobile</v>
      </c>
      <c r="G590" s="6" t="s">
        <v>29</v>
      </c>
      <c r="H590" s="6" t="str">
        <f>IF(G590="","Unknown",G590)</f>
        <v>Organic</v>
      </c>
      <c r="I590" s="6" t="s">
        <v>30</v>
      </c>
      <c r="J590" s="6">
        <v>1</v>
      </c>
      <c r="K590" s="6">
        <v>1</v>
      </c>
      <c r="L590" s="6">
        <v>0</v>
      </c>
      <c r="M590" s="6">
        <v>0</v>
      </c>
      <c r="N590" s="6">
        <v>0</v>
      </c>
      <c r="O590" s="6">
        <v>0</v>
      </c>
      <c r="P590" s="6">
        <f>IF(O590&gt;0,1,0)</f>
        <v>0</v>
      </c>
      <c r="Q590" s="6">
        <v>0</v>
      </c>
      <c r="S590" s="6">
        <v>53.3</v>
      </c>
      <c r="T590" s="6">
        <f>IF(S590="",MEDIAN($S$2:$S$1409),S590)</f>
        <v>53.3</v>
      </c>
    </row>
    <row r="591" spans="1:20" ht="15" customHeight="1">
      <c r="A591" s="6" t="s">
        <v>625</v>
      </c>
      <c r="B591" s="7">
        <v>45673</v>
      </c>
      <c r="C591" s="6" t="s">
        <v>21</v>
      </c>
      <c r="D591" s="6" t="s">
        <v>32</v>
      </c>
      <c r="E591" s="6" t="s">
        <v>28</v>
      </c>
      <c r="F591" s="6" t="str">
        <f>IF(E591="","Unknown",E591)</f>
        <v>Mobile</v>
      </c>
      <c r="G591" s="6" t="s">
        <v>29</v>
      </c>
      <c r="H591" s="6" t="str">
        <f>IF(G591="","Unknown",G591)</f>
        <v>Organic</v>
      </c>
      <c r="I591" s="6" t="s">
        <v>34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2</v>
      </c>
      <c r="P591" s="6">
        <f>IF(O591&gt;0,1,0)</f>
        <v>1</v>
      </c>
      <c r="Q591" s="6">
        <v>0</v>
      </c>
      <c r="S591" s="6">
        <v>52.3</v>
      </c>
      <c r="T591" s="6">
        <f>IF(S591="",MEDIAN($S$2:$S$1409),S591)</f>
        <v>52.3</v>
      </c>
    </row>
    <row r="592" spans="1:20" ht="15" customHeight="1">
      <c r="A592" s="6" t="s">
        <v>626</v>
      </c>
      <c r="B592" s="7">
        <v>45751</v>
      </c>
      <c r="C592" s="6" t="s">
        <v>21</v>
      </c>
      <c r="D592" s="6" t="s">
        <v>32</v>
      </c>
      <c r="E592" s="6" t="s">
        <v>28</v>
      </c>
      <c r="F592" s="6" t="str">
        <f>IF(E592="","Unknown",E592)</f>
        <v>Mobile</v>
      </c>
      <c r="G592" s="6" t="s">
        <v>33</v>
      </c>
      <c r="H592" s="6" t="str">
        <f>IF(G592="","Unknown",G592)</f>
        <v>Paid Search</v>
      </c>
      <c r="I592" s="6" t="s">
        <v>30</v>
      </c>
      <c r="J592" s="6">
        <v>1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f>IF(O592&gt;0,1,0)</f>
        <v>0</v>
      </c>
      <c r="Q592" s="6">
        <v>0</v>
      </c>
      <c r="S592" s="6">
        <v>62.5</v>
      </c>
      <c r="T592" s="6">
        <f>IF(S592="",MEDIAN($S$2:$S$1409),S592)</f>
        <v>62.5</v>
      </c>
    </row>
    <row r="593" spans="1:20" ht="15" customHeight="1">
      <c r="A593" s="6" t="s">
        <v>627</v>
      </c>
      <c r="B593" s="7">
        <v>45686</v>
      </c>
      <c r="C593" s="6" t="s">
        <v>21</v>
      </c>
      <c r="D593" s="6" t="s">
        <v>22</v>
      </c>
      <c r="E593" s="6" t="s">
        <v>38</v>
      </c>
      <c r="F593" s="6" t="str">
        <f>IF(E593="","Unknown",E593)</f>
        <v>Tablet</v>
      </c>
      <c r="G593" s="6" t="s">
        <v>45</v>
      </c>
      <c r="H593" s="6" t="str">
        <f>IF(G593="","Unknown",G593)</f>
        <v>Social</v>
      </c>
      <c r="I593" s="6" t="s">
        <v>30</v>
      </c>
      <c r="J593" s="6">
        <v>1</v>
      </c>
      <c r="K593" s="6">
        <v>0</v>
      </c>
      <c r="L593" s="6">
        <v>0</v>
      </c>
      <c r="M593" s="6">
        <v>0</v>
      </c>
      <c r="N593" s="6">
        <v>0</v>
      </c>
      <c r="O593" s="6">
        <v>0</v>
      </c>
      <c r="P593" s="6">
        <f>IF(O593&gt;0,1,0)</f>
        <v>0</v>
      </c>
      <c r="Q593" s="6">
        <v>0</v>
      </c>
      <c r="S593" s="6">
        <v>69.8</v>
      </c>
      <c r="T593" s="6">
        <f>IF(S593="",MEDIAN($S$2:$S$1409),S593)</f>
        <v>69.8</v>
      </c>
    </row>
    <row r="594" spans="1:20" ht="15" customHeight="1">
      <c r="A594" s="6" t="s">
        <v>628</v>
      </c>
      <c r="B594" s="7">
        <v>45766</v>
      </c>
      <c r="C594" s="6" t="s">
        <v>21</v>
      </c>
      <c r="D594" s="6" t="s">
        <v>32</v>
      </c>
      <c r="E594" s="6" t="s">
        <v>28</v>
      </c>
      <c r="F594" s="6" t="str">
        <f>IF(E594="","Unknown",E594)</f>
        <v>Mobile</v>
      </c>
      <c r="G594" s="6" t="s">
        <v>24</v>
      </c>
      <c r="H594" s="6" t="str">
        <f>IF(G594="","Unknown",G594)</f>
        <v>Email</v>
      </c>
      <c r="I594" s="6" t="s">
        <v>30</v>
      </c>
      <c r="J594" s="6">
        <v>1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f>IF(O594&gt;0,1,0)</f>
        <v>0</v>
      </c>
      <c r="Q594" s="6">
        <v>0</v>
      </c>
      <c r="S594" s="6">
        <v>68.2</v>
      </c>
      <c r="T594" s="6">
        <f>IF(S594="",MEDIAN($S$2:$S$1409),S594)</f>
        <v>68.2</v>
      </c>
    </row>
    <row r="595" spans="1:20" ht="15" customHeight="1">
      <c r="A595" s="6" t="s">
        <v>629</v>
      </c>
      <c r="B595" s="7">
        <v>45726</v>
      </c>
      <c r="C595" s="6" t="s">
        <v>21</v>
      </c>
      <c r="D595" s="6" t="s">
        <v>36</v>
      </c>
      <c r="E595" s="6" t="s">
        <v>28</v>
      </c>
      <c r="F595" s="6" t="str">
        <f>IF(E595="","Unknown",E595)</f>
        <v>Mobile</v>
      </c>
      <c r="G595" s="6" t="s">
        <v>45</v>
      </c>
      <c r="H595" s="6" t="str">
        <f>IF(G595="","Unknown",G595)</f>
        <v>Social</v>
      </c>
      <c r="I595" s="6" t="s">
        <v>25</v>
      </c>
      <c r="J595" s="6">
        <v>1</v>
      </c>
      <c r="K595" s="6">
        <v>1</v>
      </c>
      <c r="L595" s="6">
        <v>1</v>
      </c>
      <c r="M595" s="6">
        <v>1</v>
      </c>
      <c r="N595" s="6">
        <v>751.73</v>
      </c>
      <c r="O595" s="6">
        <v>0</v>
      </c>
      <c r="P595" s="6">
        <f>IF(O595&gt;0,1,0)</f>
        <v>0</v>
      </c>
      <c r="Q595" s="6">
        <v>0</v>
      </c>
      <c r="R595" s="6">
        <v>6</v>
      </c>
      <c r="S595" s="6">
        <v>35.200000000000003</v>
      </c>
      <c r="T595" s="6">
        <f>IF(S595="",MEDIAN($S$2:$S$1409),S595)</f>
        <v>35.200000000000003</v>
      </c>
    </row>
    <row r="596" spans="1:20" ht="15" customHeight="1">
      <c r="A596" s="6" t="s">
        <v>630</v>
      </c>
      <c r="B596" s="7">
        <v>45787</v>
      </c>
      <c r="C596" s="6" t="s">
        <v>21</v>
      </c>
      <c r="D596" s="6" t="s">
        <v>36</v>
      </c>
      <c r="E596" s="6" t="s">
        <v>28</v>
      </c>
      <c r="F596" s="6" t="str">
        <f>IF(E596="","Unknown",E596)</f>
        <v>Mobile</v>
      </c>
      <c r="G596" s="6" t="s">
        <v>45</v>
      </c>
      <c r="H596" s="6" t="str">
        <f>IF(G596="","Unknown",G596)</f>
        <v>Social</v>
      </c>
      <c r="I596" s="6" t="s">
        <v>25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f>IF(O596&gt;0,1,0)</f>
        <v>0</v>
      </c>
      <c r="Q596" s="6">
        <v>0</v>
      </c>
      <c r="S596" s="6">
        <v>59.3</v>
      </c>
      <c r="T596" s="6">
        <f>IF(S596="",MEDIAN($S$2:$S$1409),S596)</f>
        <v>59.3</v>
      </c>
    </row>
    <row r="597" spans="1:20" ht="15" customHeight="1">
      <c r="A597" s="6" t="s">
        <v>631</v>
      </c>
      <c r="B597" s="7">
        <v>45690</v>
      </c>
      <c r="C597" s="6" t="s">
        <v>21</v>
      </c>
      <c r="D597" s="6" t="s">
        <v>22</v>
      </c>
      <c r="E597" s="6" t="s">
        <v>28</v>
      </c>
      <c r="F597" s="6" t="str">
        <f>IF(E597="","Unknown",E597)</f>
        <v>Mobile</v>
      </c>
      <c r="G597" s="6" t="s">
        <v>45</v>
      </c>
      <c r="H597" s="6" t="str">
        <f>IF(G597="","Unknown",G597)</f>
        <v>Social</v>
      </c>
      <c r="I597" s="6" t="s">
        <v>30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f>IF(O597&gt;0,1,0)</f>
        <v>0</v>
      </c>
      <c r="Q597" s="6">
        <v>0</v>
      </c>
      <c r="S597" s="6">
        <v>68.099999999999994</v>
      </c>
      <c r="T597" s="6">
        <f>IF(S597="",MEDIAN($S$2:$S$1409),S597)</f>
        <v>68.099999999999994</v>
      </c>
    </row>
    <row r="598" spans="1:20" ht="15" customHeight="1">
      <c r="A598" s="6" t="s">
        <v>632</v>
      </c>
      <c r="B598" s="7">
        <v>45783</v>
      </c>
      <c r="C598" s="6" t="s">
        <v>21</v>
      </c>
      <c r="D598" s="6" t="s">
        <v>22</v>
      </c>
      <c r="E598" s="6" t="s">
        <v>23</v>
      </c>
      <c r="F598" s="6" t="str">
        <f>IF(E598="","Unknown",E598)</f>
        <v>Desktop</v>
      </c>
      <c r="G598" s="6" t="s">
        <v>29</v>
      </c>
      <c r="H598" s="6" t="str">
        <f>IF(G598="","Unknown",G598)</f>
        <v>Organic</v>
      </c>
      <c r="I598" s="6" t="s">
        <v>30</v>
      </c>
      <c r="J598" s="6">
        <v>1</v>
      </c>
      <c r="K598" s="6">
        <v>1</v>
      </c>
      <c r="L598" s="6">
        <v>0</v>
      </c>
      <c r="M598" s="6">
        <v>0</v>
      </c>
      <c r="N598" s="6">
        <v>0</v>
      </c>
      <c r="O598" s="6">
        <v>0</v>
      </c>
      <c r="P598" s="6">
        <f>IF(O598&gt;0,1,0)</f>
        <v>0</v>
      </c>
      <c r="Q598" s="6">
        <v>0</v>
      </c>
      <c r="S598" s="6">
        <v>74.8</v>
      </c>
      <c r="T598" s="6">
        <f>IF(S598="",MEDIAN($S$2:$S$1409),S598)</f>
        <v>74.8</v>
      </c>
    </row>
    <row r="599" spans="1:20" ht="15" customHeight="1">
      <c r="A599" s="6" t="s">
        <v>633</v>
      </c>
      <c r="B599" s="7">
        <v>45676</v>
      </c>
      <c r="C599" s="6" t="s">
        <v>21</v>
      </c>
      <c r="D599" s="6" t="s">
        <v>27</v>
      </c>
      <c r="E599" s="6" t="s">
        <v>23</v>
      </c>
      <c r="F599" s="6" t="str">
        <f>IF(E599="","Unknown",E599)</f>
        <v>Desktop</v>
      </c>
      <c r="G599" s="6" t="s">
        <v>29</v>
      </c>
      <c r="H599" s="6" t="str">
        <f>IF(G599="","Unknown",G599)</f>
        <v>Organic</v>
      </c>
      <c r="I599" s="6" t="s">
        <v>30</v>
      </c>
      <c r="J599" s="6">
        <v>1</v>
      </c>
      <c r="K599" s="6">
        <v>1</v>
      </c>
      <c r="L599" s="6">
        <v>1</v>
      </c>
      <c r="M599" s="6">
        <v>0</v>
      </c>
      <c r="N599" s="6">
        <v>0</v>
      </c>
      <c r="O599" s="6">
        <v>0</v>
      </c>
      <c r="P599" s="6">
        <f>IF(O599&gt;0,1,0)</f>
        <v>0</v>
      </c>
      <c r="Q599" s="6">
        <v>0</v>
      </c>
      <c r="S599" s="6">
        <v>61.7</v>
      </c>
      <c r="T599" s="6">
        <f>IF(S599="",MEDIAN($S$2:$S$1409),S599)</f>
        <v>61.7</v>
      </c>
    </row>
    <row r="600" spans="1:20" ht="15" customHeight="1">
      <c r="A600" s="6" t="s">
        <v>634</v>
      </c>
      <c r="B600" s="7">
        <v>45659</v>
      </c>
      <c r="C600" s="6" t="s">
        <v>21</v>
      </c>
      <c r="D600" s="6" t="s">
        <v>22</v>
      </c>
      <c r="E600" s="6" t="s">
        <v>28</v>
      </c>
      <c r="F600" s="6" t="str">
        <f>IF(E600="","Unknown",E600)</f>
        <v>Mobile</v>
      </c>
      <c r="G600" s="6" t="s">
        <v>29</v>
      </c>
      <c r="H600" s="6" t="str">
        <f>IF(G600="","Unknown",G600)</f>
        <v>Organic</v>
      </c>
      <c r="I600" s="6" t="s">
        <v>30</v>
      </c>
      <c r="J600" s="6">
        <v>1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f>IF(O600&gt;0,1,0)</f>
        <v>0</v>
      </c>
      <c r="Q600" s="6">
        <v>0</v>
      </c>
      <c r="S600" s="6">
        <v>24.3</v>
      </c>
      <c r="T600" s="6">
        <f>IF(S600="",MEDIAN($S$2:$S$1409),S600)</f>
        <v>24.3</v>
      </c>
    </row>
    <row r="601" spans="1:20" ht="15" customHeight="1">
      <c r="A601" s="6" t="s">
        <v>635</v>
      </c>
      <c r="B601" s="7">
        <v>45780</v>
      </c>
      <c r="C601" s="6" t="s">
        <v>21</v>
      </c>
      <c r="D601" s="6" t="s">
        <v>36</v>
      </c>
      <c r="E601" s="6" t="s">
        <v>23</v>
      </c>
      <c r="F601" s="6" t="str">
        <f>IF(E601="","Unknown",E601)</f>
        <v>Desktop</v>
      </c>
      <c r="G601" s="6" t="s">
        <v>33</v>
      </c>
      <c r="H601" s="6" t="str">
        <f>IF(G601="","Unknown",G601)</f>
        <v>Paid Search</v>
      </c>
      <c r="I601" s="6" t="s">
        <v>30</v>
      </c>
      <c r="J601" s="6">
        <v>0</v>
      </c>
      <c r="K601" s="6">
        <v>0</v>
      </c>
      <c r="L601" s="6">
        <v>0</v>
      </c>
      <c r="M601" s="6">
        <v>0</v>
      </c>
      <c r="N601" s="6">
        <v>0</v>
      </c>
      <c r="O601" s="6">
        <v>1</v>
      </c>
      <c r="P601" s="6">
        <f>IF(O601&gt;0,1,0)</f>
        <v>1</v>
      </c>
      <c r="Q601" s="6">
        <v>0</v>
      </c>
      <c r="S601" s="6">
        <v>61.9</v>
      </c>
      <c r="T601" s="6">
        <f>IF(S601="",MEDIAN($S$2:$S$1409),S601)</f>
        <v>61.9</v>
      </c>
    </row>
    <row r="602" spans="1:20" ht="15" customHeight="1">
      <c r="A602" s="6" t="s">
        <v>636</v>
      </c>
      <c r="B602" s="7">
        <v>45804</v>
      </c>
      <c r="C602" s="6" t="s">
        <v>21</v>
      </c>
      <c r="D602" s="6" t="s">
        <v>32</v>
      </c>
      <c r="E602" s="6" t="s">
        <v>23</v>
      </c>
      <c r="F602" s="6" t="str">
        <f>IF(E602="","Unknown",E602)</f>
        <v>Desktop</v>
      </c>
      <c r="G602" s="6" t="s">
        <v>43</v>
      </c>
      <c r="H602" s="6" t="str">
        <f>IF(G602="","Unknown",G602)</f>
        <v>Referral</v>
      </c>
      <c r="I602" s="6" t="s">
        <v>34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2</v>
      </c>
      <c r="P602" s="6">
        <f>IF(O602&gt;0,1,0)</f>
        <v>1</v>
      </c>
      <c r="Q602" s="6">
        <v>0</v>
      </c>
      <c r="S602" s="6">
        <v>41.7</v>
      </c>
      <c r="T602" s="6">
        <f>IF(S602="",MEDIAN($S$2:$S$1409),S602)</f>
        <v>41.7</v>
      </c>
    </row>
    <row r="603" spans="1:20" ht="15" customHeight="1">
      <c r="A603" s="6" t="s">
        <v>637</v>
      </c>
      <c r="B603" s="7">
        <v>45697</v>
      </c>
      <c r="C603" s="6" t="s">
        <v>21</v>
      </c>
      <c r="D603" s="6" t="s">
        <v>36</v>
      </c>
      <c r="E603" s="6" t="s">
        <v>23</v>
      </c>
      <c r="F603" s="6" t="str">
        <f>IF(E603="","Unknown",E603)</f>
        <v>Desktop</v>
      </c>
      <c r="G603" s="6" t="s">
        <v>45</v>
      </c>
      <c r="H603" s="6" t="str">
        <f>IF(G603="","Unknown",G603)</f>
        <v>Social</v>
      </c>
      <c r="I603" s="6" t="s">
        <v>30</v>
      </c>
      <c r="J603" s="6">
        <v>1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f>IF(O603&gt;0,1,0)</f>
        <v>0</v>
      </c>
      <c r="Q603" s="6">
        <v>0</v>
      </c>
      <c r="S603" s="6">
        <v>87.6</v>
      </c>
      <c r="T603" s="6">
        <f>IF(S603="",MEDIAN($S$2:$S$1409),S603)</f>
        <v>87.6</v>
      </c>
    </row>
    <row r="604" spans="1:20" ht="15" customHeight="1">
      <c r="A604" s="6" t="s">
        <v>638</v>
      </c>
      <c r="B604" s="7">
        <v>45795</v>
      </c>
      <c r="C604" s="6" t="s">
        <v>21</v>
      </c>
      <c r="D604" s="6" t="s">
        <v>32</v>
      </c>
      <c r="E604" s="6" t="s">
        <v>28</v>
      </c>
      <c r="F604" s="6" t="str">
        <f>IF(E604="","Unknown",E604)</f>
        <v>Mobile</v>
      </c>
      <c r="G604" s="6" t="s">
        <v>33</v>
      </c>
      <c r="H604" s="6" t="str">
        <f>IF(G604="","Unknown",G604)</f>
        <v>Paid Search</v>
      </c>
      <c r="I604" s="6" t="s">
        <v>30</v>
      </c>
      <c r="J604" s="6">
        <v>1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f>IF(O604&gt;0,1,0)</f>
        <v>0</v>
      </c>
      <c r="Q604" s="6">
        <v>0</v>
      </c>
      <c r="S604" s="6">
        <v>30.8</v>
      </c>
      <c r="T604" s="6">
        <f>IF(S604="",MEDIAN($S$2:$S$1409),S604)</f>
        <v>30.8</v>
      </c>
    </row>
    <row r="605" spans="1:20" ht="15" customHeight="1">
      <c r="A605" s="6" t="s">
        <v>639</v>
      </c>
      <c r="B605" s="7">
        <v>45794</v>
      </c>
      <c r="C605" s="6" t="s">
        <v>21</v>
      </c>
      <c r="D605" s="6" t="s">
        <v>22</v>
      </c>
      <c r="E605" s="6" t="s">
        <v>28</v>
      </c>
      <c r="F605" s="6" t="str">
        <f>IF(E605="","Unknown",E605)</f>
        <v>Mobile</v>
      </c>
      <c r="G605" s="6" t="s">
        <v>24</v>
      </c>
      <c r="H605" s="6" t="str">
        <f>IF(G605="","Unknown",G605)</f>
        <v>Email</v>
      </c>
      <c r="I605" s="6" t="s">
        <v>30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f>IF(O605&gt;0,1,0)</f>
        <v>0</v>
      </c>
      <c r="Q605" s="6">
        <v>0</v>
      </c>
      <c r="S605" s="6">
        <v>54</v>
      </c>
      <c r="T605" s="6">
        <f>IF(S605="",MEDIAN($S$2:$S$1409),S605)</f>
        <v>54</v>
      </c>
    </row>
    <row r="606" spans="1:20" ht="15" customHeight="1">
      <c r="A606" s="6" t="s">
        <v>640</v>
      </c>
      <c r="B606" s="7">
        <v>45682</v>
      </c>
      <c r="C606" s="6" t="s">
        <v>21</v>
      </c>
      <c r="D606" s="6" t="s">
        <v>32</v>
      </c>
      <c r="E606" s="6" t="s">
        <v>23</v>
      </c>
      <c r="F606" s="6" t="str">
        <f>IF(E606="","Unknown",E606)</f>
        <v>Desktop</v>
      </c>
      <c r="G606" s="6" t="s">
        <v>43</v>
      </c>
      <c r="H606" s="6" t="str">
        <f>IF(G606="","Unknown",G606)</f>
        <v>Referral</v>
      </c>
      <c r="I606" s="6" t="s">
        <v>25</v>
      </c>
      <c r="J606" s="6">
        <v>1</v>
      </c>
      <c r="K606" s="6">
        <v>0</v>
      </c>
      <c r="L606" s="6">
        <v>0</v>
      </c>
      <c r="M606" s="6">
        <v>0</v>
      </c>
      <c r="N606" s="6">
        <v>0</v>
      </c>
      <c r="O606" s="6">
        <v>1</v>
      </c>
      <c r="P606" s="6">
        <f>IF(O606&gt;0,1,0)</f>
        <v>1</v>
      </c>
      <c r="Q606" s="6">
        <v>0</v>
      </c>
      <c r="S606" s="6">
        <v>54.5</v>
      </c>
      <c r="T606" s="6">
        <f>IF(S606="",MEDIAN($S$2:$S$1409),S606)</f>
        <v>54.5</v>
      </c>
    </row>
    <row r="607" spans="1:20" ht="15" customHeight="1">
      <c r="A607" s="6" t="s">
        <v>641</v>
      </c>
      <c r="B607" s="7">
        <v>45781</v>
      </c>
      <c r="C607" s="6" t="s">
        <v>21</v>
      </c>
      <c r="D607" s="6" t="s">
        <v>27</v>
      </c>
      <c r="E607" s="6" t="s">
        <v>28</v>
      </c>
      <c r="F607" s="6" t="str">
        <f>IF(E607="","Unknown",E607)</f>
        <v>Mobile</v>
      </c>
      <c r="G607" s="6" t="s">
        <v>33</v>
      </c>
      <c r="H607" s="6" t="str">
        <f>IF(G607="","Unknown",G607)</f>
        <v>Paid Search</v>
      </c>
      <c r="I607" s="6" t="s">
        <v>34</v>
      </c>
      <c r="J607" s="6">
        <v>1</v>
      </c>
      <c r="K607" s="6">
        <v>1</v>
      </c>
      <c r="L607" s="6">
        <v>0</v>
      </c>
      <c r="M607" s="6">
        <v>0</v>
      </c>
      <c r="N607" s="6">
        <v>0</v>
      </c>
      <c r="O607" s="6">
        <v>0</v>
      </c>
      <c r="P607" s="6">
        <f>IF(O607&gt;0,1,0)</f>
        <v>0</v>
      </c>
      <c r="Q607" s="6">
        <v>0</v>
      </c>
      <c r="S607" s="6">
        <v>61.3</v>
      </c>
      <c r="T607" s="6">
        <f>IF(S607="",MEDIAN($S$2:$S$1409),S607)</f>
        <v>61.3</v>
      </c>
    </row>
    <row r="608" spans="1:20" ht="15" customHeight="1">
      <c r="A608" s="6" t="s">
        <v>642</v>
      </c>
      <c r="B608" s="7">
        <v>45761</v>
      </c>
      <c r="C608" s="6" t="s">
        <v>21</v>
      </c>
      <c r="D608" s="6" t="s">
        <v>27</v>
      </c>
      <c r="E608" s="6" t="s">
        <v>28</v>
      </c>
      <c r="F608" s="6" t="str">
        <f>IF(E608="","Unknown",E608)</f>
        <v>Mobile</v>
      </c>
      <c r="G608" s="6" t="s">
        <v>29</v>
      </c>
      <c r="H608" s="6" t="str">
        <f>IF(G608="","Unknown",G608)</f>
        <v>Organic</v>
      </c>
      <c r="I608" s="6" t="s">
        <v>30</v>
      </c>
      <c r="J608" s="6">
        <v>1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f>IF(O608&gt;0,1,0)</f>
        <v>0</v>
      </c>
      <c r="Q608" s="6">
        <v>0</v>
      </c>
      <c r="S608" s="6">
        <v>62.7</v>
      </c>
      <c r="T608" s="6">
        <f>IF(S608="",MEDIAN($S$2:$S$1409),S608)</f>
        <v>62.7</v>
      </c>
    </row>
    <row r="609" spans="1:20" ht="15" customHeight="1">
      <c r="A609" s="6" t="s">
        <v>643</v>
      </c>
      <c r="B609" s="7">
        <v>45765</v>
      </c>
      <c r="C609" s="6" t="s">
        <v>21</v>
      </c>
      <c r="D609" s="6" t="s">
        <v>36</v>
      </c>
      <c r="E609" s="6" t="s">
        <v>28</v>
      </c>
      <c r="F609" s="6" t="str">
        <f>IF(E609="","Unknown",E609)</f>
        <v>Mobile</v>
      </c>
      <c r="G609" s="6" t="s">
        <v>33</v>
      </c>
      <c r="H609" s="6" t="str">
        <f>IF(G609="","Unknown",G609)</f>
        <v>Paid Search</v>
      </c>
      <c r="I609" s="6" t="s">
        <v>30</v>
      </c>
      <c r="J609" s="6">
        <v>1</v>
      </c>
      <c r="K609" s="6">
        <v>1</v>
      </c>
      <c r="L609" s="6">
        <v>0</v>
      </c>
      <c r="M609" s="6">
        <v>0</v>
      </c>
      <c r="N609" s="6">
        <v>0</v>
      </c>
      <c r="O609" s="6">
        <v>0</v>
      </c>
      <c r="P609" s="6">
        <f>IF(O609&gt;0,1,0)</f>
        <v>0</v>
      </c>
      <c r="Q609" s="6">
        <v>0</v>
      </c>
      <c r="S609" s="6">
        <v>43.1</v>
      </c>
      <c r="T609" s="6">
        <f>IF(S609="",MEDIAN($S$2:$S$1409),S609)</f>
        <v>43.1</v>
      </c>
    </row>
    <row r="610" spans="1:20" ht="15" customHeight="1">
      <c r="A610" s="6" t="s">
        <v>644</v>
      </c>
      <c r="B610" s="7">
        <v>45712</v>
      </c>
      <c r="C610" s="6" t="s">
        <v>21</v>
      </c>
      <c r="D610" s="6" t="s">
        <v>36</v>
      </c>
      <c r="E610" s="6" t="s">
        <v>23</v>
      </c>
      <c r="F610" s="6" t="str">
        <f>IF(E610="","Unknown",E610)</f>
        <v>Desktop</v>
      </c>
      <c r="G610" s="6" t="s">
        <v>24</v>
      </c>
      <c r="H610" s="6" t="str">
        <f>IF(G610="","Unknown",G610)</f>
        <v>Email</v>
      </c>
      <c r="I610" s="6" t="s">
        <v>25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f>IF(O610&gt;0,1,0)</f>
        <v>0</v>
      </c>
      <c r="Q610" s="6">
        <v>0</v>
      </c>
      <c r="S610" s="6">
        <v>59.9</v>
      </c>
      <c r="T610" s="6">
        <f>IF(S610="",MEDIAN($S$2:$S$1409),S610)</f>
        <v>59.9</v>
      </c>
    </row>
    <row r="611" spans="1:20" ht="15" customHeight="1">
      <c r="A611" s="6" t="s">
        <v>645</v>
      </c>
      <c r="B611" s="7">
        <v>45766</v>
      </c>
      <c r="C611" s="6" t="s">
        <v>21</v>
      </c>
      <c r="D611" s="6" t="s">
        <v>22</v>
      </c>
      <c r="E611" s="6" t="s">
        <v>38</v>
      </c>
      <c r="F611" s="6" t="str">
        <f>IF(E611="","Unknown",E611)</f>
        <v>Tablet</v>
      </c>
      <c r="G611" s="6" t="s">
        <v>33</v>
      </c>
      <c r="H611" s="6" t="str">
        <f>IF(G611="","Unknown",G611)</f>
        <v>Paid Search</v>
      </c>
      <c r="I611" s="6" t="s">
        <v>30</v>
      </c>
      <c r="J611" s="6">
        <v>1</v>
      </c>
      <c r="K611" s="6">
        <v>1</v>
      </c>
      <c r="L611" s="6">
        <v>1</v>
      </c>
      <c r="M611" s="6">
        <v>0</v>
      </c>
      <c r="N611" s="6">
        <v>0</v>
      </c>
      <c r="O611" s="6">
        <v>0</v>
      </c>
      <c r="P611" s="6">
        <f>IF(O611&gt;0,1,0)</f>
        <v>0</v>
      </c>
      <c r="Q611" s="6">
        <v>0</v>
      </c>
      <c r="S611" s="6">
        <v>55.7</v>
      </c>
      <c r="T611" s="6">
        <f>IF(S611="",MEDIAN($S$2:$S$1409),S611)</f>
        <v>55.7</v>
      </c>
    </row>
    <row r="612" spans="1:20" ht="15" customHeight="1">
      <c r="A612" s="6" t="s">
        <v>646</v>
      </c>
      <c r="B612" s="7">
        <v>45723</v>
      </c>
      <c r="C612" s="6" t="s">
        <v>21</v>
      </c>
      <c r="D612" s="6" t="s">
        <v>36</v>
      </c>
      <c r="E612" s="6" t="s">
        <v>23</v>
      </c>
      <c r="F612" s="6" t="str">
        <f>IF(E612="","Unknown",E612)</f>
        <v>Desktop</v>
      </c>
      <c r="G612" s="6" t="s">
        <v>29</v>
      </c>
      <c r="H612" s="6" t="str">
        <f>IF(G612="","Unknown",G612)</f>
        <v>Organic</v>
      </c>
      <c r="I612" s="6" t="s">
        <v>25</v>
      </c>
      <c r="J612" s="6">
        <v>1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f>IF(O612&gt;0,1,0)</f>
        <v>0</v>
      </c>
      <c r="Q612" s="6">
        <v>0</v>
      </c>
      <c r="S612" s="6">
        <v>37.1</v>
      </c>
      <c r="T612" s="6">
        <f>IF(S612="",MEDIAN($S$2:$S$1409),S612)</f>
        <v>37.1</v>
      </c>
    </row>
    <row r="613" spans="1:20" ht="15" customHeight="1">
      <c r="A613" s="6" t="s">
        <v>647</v>
      </c>
      <c r="B613" s="7">
        <v>45725</v>
      </c>
      <c r="C613" s="6" t="s">
        <v>21</v>
      </c>
      <c r="D613" s="6" t="s">
        <v>32</v>
      </c>
      <c r="E613" s="6" t="s">
        <v>28</v>
      </c>
      <c r="F613" s="6" t="str">
        <f>IF(E613="","Unknown",E613)</f>
        <v>Mobile</v>
      </c>
      <c r="G613" s="6" t="s">
        <v>29</v>
      </c>
      <c r="H613" s="6" t="str">
        <f>IF(G613="","Unknown",G613)</f>
        <v>Organic</v>
      </c>
      <c r="I613" s="6" t="s">
        <v>25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1</v>
      </c>
      <c r="P613" s="6">
        <f>IF(O613&gt;0,1,0)</f>
        <v>1</v>
      </c>
      <c r="Q613" s="6">
        <v>0</v>
      </c>
      <c r="S613" s="6">
        <v>46.7</v>
      </c>
      <c r="T613" s="6">
        <f>IF(S613="",MEDIAN($S$2:$S$1409),S613)</f>
        <v>46.7</v>
      </c>
    </row>
    <row r="614" spans="1:20" ht="15" customHeight="1">
      <c r="A614" s="6" t="s">
        <v>648</v>
      </c>
      <c r="B614" s="7">
        <v>45778</v>
      </c>
      <c r="C614" s="6" t="s">
        <v>21</v>
      </c>
      <c r="D614" s="6" t="s">
        <v>36</v>
      </c>
      <c r="E614" s="6" t="s">
        <v>23</v>
      </c>
      <c r="F614" s="6" t="str">
        <f>IF(E614="","Unknown",E614)</f>
        <v>Desktop</v>
      </c>
      <c r="G614" s="6" t="s">
        <v>29</v>
      </c>
      <c r="H614" s="6" t="str">
        <f>IF(G614="","Unknown",G614)</f>
        <v>Organic</v>
      </c>
      <c r="I614" s="6" t="s">
        <v>25</v>
      </c>
      <c r="J614" s="6">
        <v>1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f>IF(O614&gt;0,1,0)</f>
        <v>0</v>
      </c>
      <c r="Q614" s="6">
        <v>0</v>
      </c>
      <c r="S614" s="6">
        <v>54.1</v>
      </c>
      <c r="T614" s="6">
        <f>IF(S614="",MEDIAN($S$2:$S$1409),S614)</f>
        <v>54.1</v>
      </c>
    </row>
    <row r="615" spans="1:20" ht="15" customHeight="1">
      <c r="A615" s="6" t="s">
        <v>649</v>
      </c>
      <c r="B615" s="7">
        <v>45697</v>
      </c>
      <c r="C615" s="6" t="s">
        <v>21</v>
      </c>
      <c r="D615" s="6" t="s">
        <v>27</v>
      </c>
      <c r="E615" s="6" t="s">
        <v>23</v>
      </c>
      <c r="F615" s="6" t="str">
        <f>IF(E615="","Unknown",E615)</f>
        <v>Desktop</v>
      </c>
      <c r="G615" s="6" t="s">
        <v>29</v>
      </c>
      <c r="H615" s="6" t="str">
        <f>IF(G615="","Unknown",G615)</f>
        <v>Organic</v>
      </c>
      <c r="I615" s="6" t="s">
        <v>34</v>
      </c>
      <c r="J615" s="6">
        <v>1</v>
      </c>
      <c r="K615" s="6">
        <v>1</v>
      </c>
      <c r="L615" s="6">
        <v>1</v>
      </c>
      <c r="M615" s="6">
        <v>0</v>
      </c>
      <c r="N615" s="6">
        <v>0</v>
      </c>
      <c r="O615" s="6">
        <v>0</v>
      </c>
      <c r="P615" s="6">
        <f>IF(O615&gt;0,1,0)</f>
        <v>0</v>
      </c>
      <c r="Q615" s="6">
        <v>0</v>
      </c>
      <c r="S615" s="6">
        <v>56.1</v>
      </c>
      <c r="T615" s="6">
        <f>IF(S615="",MEDIAN($S$2:$S$1409),S615)</f>
        <v>56.1</v>
      </c>
    </row>
    <row r="616" spans="1:20" ht="15" customHeight="1">
      <c r="A616" s="6" t="s">
        <v>650</v>
      </c>
      <c r="B616" s="7">
        <v>45799</v>
      </c>
      <c r="C616" s="6" t="s">
        <v>21</v>
      </c>
      <c r="D616" s="6" t="s">
        <v>27</v>
      </c>
      <c r="E616" s="6" t="s">
        <v>28</v>
      </c>
      <c r="F616" s="6" t="str">
        <f>IF(E616="","Unknown",E616)</f>
        <v>Mobile</v>
      </c>
      <c r="G616" s="6" t="s">
        <v>43</v>
      </c>
      <c r="H616" s="6" t="str">
        <f>IF(G616="","Unknown",G616)</f>
        <v>Referral</v>
      </c>
      <c r="I616" s="6" t="s">
        <v>34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f>IF(O616&gt;0,1,0)</f>
        <v>0</v>
      </c>
      <c r="Q616" s="6">
        <v>0</v>
      </c>
      <c r="S616" s="6">
        <v>23.6</v>
      </c>
      <c r="T616" s="6">
        <f>IF(S616="",MEDIAN($S$2:$S$1409),S616)</f>
        <v>23.6</v>
      </c>
    </row>
    <row r="617" spans="1:20" ht="15" customHeight="1">
      <c r="A617" s="6" t="s">
        <v>651</v>
      </c>
      <c r="B617" s="7">
        <v>45699</v>
      </c>
      <c r="C617" s="6" t="s">
        <v>21</v>
      </c>
      <c r="D617" s="6" t="s">
        <v>22</v>
      </c>
      <c r="E617" s="6" t="s">
        <v>28</v>
      </c>
      <c r="F617" s="6" t="str">
        <f>IF(E617="","Unknown",E617)</f>
        <v>Mobile</v>
      </c>
      <c r="G617" s="6" t="s">
        <v>29</v>
      </c>
      <c r="H617" s="6" t="str">
        <f>IF(G617="","Unknown",G617)</f>
        <v>Organic</v>
      </c>
      <c r="I617" s="6" t="s">
        <v>34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f>IF(O617&gt;0,1,0)</f>
        <v>0</v>
      </c>
      <c r="Q617" s="6">
        <v>0</v>
      </c>
      <c r="S617" s="6">
        <v>54.7</v>
      </c>
      <c r="T617" s="6">
        <f>IF(S617="",MEDIAN($S$2:$S$1409),S617)</f>
        <v>54.7</v>
      </c>
    </row>
    <row r="618" spans="1:20" ht="15" customHeight="1">
      <c r="A618" s="6" t="s">
        <v>652</v>
      </c>
      <c r="B618" s="7">
        <v>45759</v>
      </c>
      <c r="C618" s="6" t="s">
        <v>21</v>
      </c>
      <c r="D618" s="6" t="s">
        <v>22</v>
      </c>
      <c r="E618" s="6" t="s">
        <v>28</v>
      </c>
      <c r="F618" s="6" t="str">
        <f>IF(E618="","Unknown",E618)</f>
        <v>Mobile</v>
      </c>
      <c r="G618" s="6" t="s">
        <v>43</v>
      </c>
      <c r="H618" s="6" t="str">
        <f>IF(G618="","Unknown",G618)</f>
        <v>Referral</v>
      </c>
      <c r="I618" s="6" t="s">
        <v>25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2</v>
      </c>
      <c r="P618" s="6">
        <f>IF(O618&gt;0,1,0)</f>
        <v>1</v>
      </c>
      <c r="Q618" s="6">
        <v>0</v>
      </c>
      <c r="S618" s="6">
        <v>50.4</v>
      </c>
      <c r="T618" s="6">
        <f>IF(S618="",MEDIAN($S$2:$S$1409),S618)</f>
        <v>50.4</v>
      </c>
    </row>
    <row r="619" spans="1:20" ht="15" customHeight="1">
      <c r="A619" s="6" t="s">
        <v>653</v>
      </c>
      <c r="B619" s="7">
        <v>45717</v>
      </c>
      <c r="C619" s="6" t="s">
        <v>21</v>
      </c>
      <c r="D619" s="6" t="s">
        <v>27</v>
      </c>
      <c r="E619" s="6" t="s">
        <v>28</v>
      </c>
      <c r="F619" s="6" t="str">
        <f>IF(E619="","Unknown",E619)</f>
        <v>Mobile</v>
      </c>
      <c r="G619" s="6" t="s">
        <v>45</v>
      </c>
      <c r="H619" s="6" t="str">
        <f>IF(G619="","Unknown",G619)</f>
        <v>Social</v>
      </c>
      <c r="I619" s="6" t="s">
        <v>30</v>
      </c>
      <c r="J619" s="6">
        <v>1</v>
      </c>
      <c r="K619" s="6">
        <v>0</v>
      </c>
      <c r="L619" s="6">
        <v>0</v>
      </c>
      <c r="M619" s="6">
        <v>0</v>
      </c>
      <c r="N619" s="6">
        <v>0</v>
      </c>
      <c r="O619" s="6">
        <v>0</v>
      </c>
      <c r="P619" s="6">
        <f>IF(O619&gt;0,1,0)</f>
        <v>0</v>
      </c>
      <c r="Q619" s="6">
        <v>0</v>
      </c>
      <c r="S619" s="6">
        <v>54.5</v>
      </c>
      <c r="T619" s="6">
        <f>IF(S619="",MEDIAN($S$2:$S$1409),S619)</f>
        <v>54.5</v>
      </c>
    </row>
    <row r="620" spans="1:20" ht="15" customHeight="1">
      <c r="A620" s="6" t="s">
        <v>654</v>
      </c>
      <c r="B620" s="7">
        <v>45733</v>
      </c>
      <c r="C620" s="6" t="s">
        <v>21</v>
      </c>
      <c r="D620" s="6" t="s">
        <v>27</v>
      </c>
      <c r="E620" s="6" t="s">
        <v>23</v>
      </c>
      <c r="F620" s="6" t="str">
        <f>IF(E620="","Unknown",E620)</f>
        <v>Desktop</v>
      </c>
      <c r="G620" s="6" t="s">
        <v>24</v>
      </c>
      <c r="H620" s="6" t="str">
        <f>IF(G620="","Unknown",G620)</f>
        <v>Email</v>
      </c>
      <c r="I620" s="6" t="s">
        <v>25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f>IF(O620&gt;0,1,0)</f>
        <v>0</v>
      </c>
      <c r="Q620" s="6">
        <v>0</v>
      </c>
      <c r="S620" s="6">
        <v>58</v>
      </c>
      <c r="T620" s="6">
        <f>IF(S620="",MEDIAN($S$2:$S$1409),S620)</f>
        <v>58</v>
      </c>
    </row>
    <row r="621" spans="1:20" ht="15" customHeight="1">
      <c r="A621" s="6" t="s">
        <v>655</v>
      </c>
      <c r="B621" s="7">
        <v>45668</v>
      </c>
      <c r="C621" s="6" t="s">
        <v>21</v>
      </c>
      <c r="D621" s="6" t="s">
        <v>22</v>
      </c>
      <c r="E621" s="6" t="s">
        <v>28</v>
      </c>
      <c r="F621" s="6" t="str">
        <f>IF(E621="","Unknown",E621)</f>
        <v>Mobile</v>
      </c>
      <c r="G621" s="6" t="s">
        <v>33</v>
      </c>
      <c r="H621" s="6" t="str">
        <f>IF(G621="","Unknown",G621)</f>
        <v>Paid Search</v>
      </c>
      <c r="I621" s="6" t="s">
        <v>30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f>IF(O621&gt;0,1,0)</f>
        <v>0</v>
      </c>
      <c r="Q621" s="6">
        <v>0</v>
      </c>
      <c r="S621" s="6">
        <v>42.9</v>
      </c>
      <c r="T621" s="6">
        <f>IF(S621="",MEDIAN($S$2:$S$1409),S621)</f>
        <v>42.9</v>
      </c>
    </row>
    <row r="622" spans="1:20" ht="15" customHeight="1">
      <c r="A622" s="6" t="s">
        <v>656</v>
      </c>
      <c r="B622" s="7">
        <v>45705</v>
      </c>
      <c r="C622" s="6" t="s">
        <v>21</v>
      </c>
      <c r="D622" s="6" t="s">
        <v>36</v>
      </c>
      <c r="E622" s="6" t="s">
        <v>28</v>
      </c>
      <c r="F622" s="6" t="str">
        <f>IF(E622="","Unknown",E622)</f>
        <v>Mobile</v>
      </c>
      <c r="G622" s="6" t="s">
        <v>45</v>
      </c>
      <c r="H622" s="6" t="str">
        <f>IF(G622="","Unknown",G622)</f>
        <v>Social</v>
      </c>
      <c r="I622" s="6" t="s">
        <v>34</v>
      </c>
      <c r="J622" s="6">
        <v>1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f>IF(O622&gt;0,1,0)</f>
        <v>0</v>
      </c>
      <c r="Q622" s="6">
        <v>0</v>
      </c>
      <c r="S622" s="6">
        <v>51.1</v>
      </c>
      <c r="T622" s="6">
        <f>IF(S622="",MEDIAN($S$2:$S$1409),S622)</f>
        <v>51.1</v>
      </c>
    </row>
    <row r="623" spans="1:20" ht="15" customHeight="1">
      <c r="A623" s="6" t="s">
        <v>657</v>
      </c>
      <c r="B623" s="7">
        <v>45741</v>
      </c>
      <c r="C623" s="6" t="s">
        <v>21</v>
      </c>
      <c r="D623" s="6" t="s">
        <v>32</v>
      </c>
      <c r="E623" s="6" t="s">
        <v>28</v>
      </c>
      <c r="F623" s="6" t="str">
        <f>IF(E623="","Unknown",E623)</f>
        <v>Mobile</v>
      </c>
      <c r="G623" s="6" t="s">
        <v>33</v>
      </c>
      <c r="H623" s="6" t="str">
        <f>IF(G623="","Unknown",G623)</f>
        <v>Paid Search</v>
      </c>
      <c r="I623" s="6" t="s">
        <v>25</v>
      </c>
      <c r="J623" s="6">
        <v>1</v>
      </c>
      <c r="K623" s="6">
        <v>1</v>
      </c>
      <c r="L623" s="6">
        <v>0</v>
      </c>
      <c r="M623" s="6">
        <v>0</v>
      </c>
      <c r="N623" s="6">
        <v>0</v>
      </c>
      <c r="O623" s="6">
        <v>0</v>
      </c>
      <c r="P623" s="6">
        <f>IF(O623&gt;0,1,0)</f>
        <v>0</v>
      </c>
      <c r="Q623" s="6">
        <v>0</v>
      </c>
      <c r="S623" s="6">
        <v>51.8</v>
      </c>
      <c r="T623" s="6">
        <f>IF(S623="",MEDIAN($S$2:$S$1409),S623)</f>
        <v>51.8</v>
      </c>
    </row>
    <row r="624" spans="1:20" ht="15" customHeight="1">
      <c r="A624" s="6" t="s">
        <v>658</v>
      </c>
      <c r="B624" s="7">
        <v>45778</v>
      </c>
      <c r="C624" s="6" t="s">
        <v>21</v>
      </c>
      <c r="D624" s="6" t="s">
        <v>36</v>
      </c>
      <c r="E624" s="6" t="s">
        <v>28</v>
      </c>
      <c r="F624" s="6" t="str">
        <f>IF(E624="","Unknown",E624)</f>
        <v>Mobile</v>
      </c>
      <c r="G624" s="6" t="s">
        <v>33</v>
      </c>
      <c r="H624" s="6" t="str">
        <f>IF(G624="","Unknown",G624)</f>
        <v>Paid Search</v>
      </c>
      <c r="I624" s="6" t="s">
        <v>30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f>IF(O624&gt;0,1,0)</f>
        <v>0</v>
      </c>
      <c r="Q624" s="6">
        <v>0</v>
      </c>
      <c r="S624" s="6">
        <v>67.7</v>
      </c>
      <c r="T624" s="6">
        <f>IF(S624="",MEDIAN($S$2:$S$1409),S624)</f>
        <v>67.7</v>
      </c>
    </row>
    <row r="625" spans="1:20" ht="15" customHeight="1">
      <c r="A625" s="6" t="s">
        <v>659</v>
      </c>
      <c r="B625" s="7">
        <v>45749</v>
      </c>
      <c r="C625" s="6" t="s">
        <v>21</v>
      </c>
      <c r="D625" s="6" t="s">
        <v>32</v>
      </c>
      <c r="E625" s="6" t="s">
        <v>28</v>
      </c>
      <c r="F625" s="6" t="str">
        <f>IF(E625="","Unknown",E625)</f>
        <v>Mobile</v>
      </c>
      <c r="G625" s="6" t="s">
        <v>29</v>
      </c>
      <c r="H625" s="6" t="str">
        <f>IF(G625="","Unknown",G625)</f>
        <v>Organic</v>
      </c>
      <c r="I625" s="6" t="s">
        <v>25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>
        <v>0</v>
      </c>
      <c r="P625" s="6">
        <f>IF(O625&gt;0,1,0)</f>
        <v>0</v>
      </c>
      <c r="Q625" s="6">
        <v>0</v>
      </c>
      <c r="S625" s="6">
        <v>75.8</v>
      </c>
      <c r="T625" s="6">
        <f>IF(S625="",MEDIAN($S$2:$S$1409),S625)</f>
        <v>75.8</v>
      </c>
    </row>
    <row r="626" spans="1:20" ht="15" customHeight="1">
      <c r="A626" s="6" t="s">
        <v>660</v>
      </c>
      <c r="B626" s="7">
        <v>45752</v>
      </c>
      <c r="C626" s="6" t="s">
        <v>21</v>
      </c>
      <c r="D626" s="6" t="s">
        <v>32</v>
      </c>
      <c r="E626" s="6" t="s">
        <v>28</v>
      </c>
      <c r="F626" s="6" t="str">
        <f>IF(E626="","Unknown",E626)</f>
        <v>Mobile</v>
      </c>
      <c r="G626" s="6" t="s">
        <v>24</v>
      </c>
      <c r="H626" s="6" t="str">
        <f>IF(G626="","Unknown",G626)</f>
        <v>Email</v>
      </c>
      <c r="I626" s="6" t="s">
        <v>30</v>
      </c>
      <c r="J626" s="6">
        <v>1</v>
      </c>
      <c r="K626" s="6">
        <v>1</v>
      </c>
      <c r="L626" s="6">
        <v>0</v>
      </c>
      <c r="M626" s="6">
        <v>0</v>
      </c>
      <c r="N626" s="6">
        <v>0</v>
      </c>
      <c r="O626" s="6">
        <v>0</v>
      </c>
      <c r="P626" s="6">
        <f>IF(O626&gt;0,1,0)</f>
        <v>0</v>
      </c>
      <c r="Q626" s="6">
        <v>0</v>
      </c>
      <c r="S626" s="6">
        <v>72.8</v>
      </c>
      <c r="T626" s="6">
        <f>IF(S626="",MEDIAN($S$2:$S$1409),S626)</f>
        <v>72.8</v>
      </c>
    </row>
    <row r="627" spans="1:20" ht="15" customHeight="1">
      <c r="A627" s="6" t="s">
        <v>661</v>
      </c>
      <c r="B627" s="7">
        <v>45712</v>
      </c>
      <c r="C627" s="6" t="s">
        <v>21</v>
      </c>
      <c r="D627" s="6" t="s">
        <v>22</v>
      </c>
      <c r="E627" s="6" t="s">
        <v>23</v>
      </c>
      <c r="F627" s="6" t="str">
        <f>IF(E627="","Unknown",E627)</f>
        <v>Desktop</v>
      </c>
      <c r="G627" s="6" t="s">
        <v>45</v>
      </c>
      <c r="H627" s="6" t="str">
        <f>IF(G627="","Unknown",G627)</f>
        <v>Social</v>
      </c>
      <c r="I627" s="6" t="s">
        <v>30</v>
      </c>
      <c r="J627" s="6">
        <v>1</v>
      </c>
      <c r="K627" s="6">
        <v>1</v>
      </c>
      <c r="L627" s="6">
        <v>0</v>
      </c>
      <c r="M627" s="6">
        <v>0</v>
      </c>
      <c r="N627" s="6">
        <v>0</v>
      </c>
      <c r="O627" s="6">
        <v>0</v>
      </c>
      <c r="P627" s="6">
        <f>IF(O627&gt;0,1,0)</f>
        <v>0</v>
      </c>
      <c r="Q627" s="6">
        <v>0</v>
      </c>
      <c r="S627" s="6">
        <v>54.4</v>
      </c>
      <c r="T627" s="6">
        <f>IF(S627="",MEDIAN($S$2:$S$1409),S627)</f>
        <v>54.4</v>
      </c>
    </row>
    <row r="628" spans="1:20" ht="15" customHeight="1">
      <c r="A628" s="6" t="s">
        <v>662</v>
      </c>
      <c r="B628" s="7">
        <v>45681</v>
      </c>
      <c r="C628" s="6" t="s">
        <v>21</v>
      </c>
      <c r="D628" s="6" t="s">
        <v>27</v>
      </c>
      <c r="E628" s="6" t="s">
        <v>28</v>
      </c>
      <c r="F628" s="6" t="str">
        <f>IF(E628="","Unknown",E628)</f>
        <v>Mobile</v>
      </c>
      <c r="G628" s="6" t="s">
        <v>33</v>
      </c>
      <c r="H628" s="6" t="str">
        <f>IF(G628="","Unknown",G628)</f>
        <v>Paid Search</v>
      </c>
      <c r="I628" s="6" t="s">
        <v>25</v>
      </c>
      <c r="J628" s="6">
        <v>1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f>IF(O628&gt;0,1,0)</f>
        <v>0</v>
      </c>
      <c r="Q628" s="6">
        <v>0</v>
      </c>
      <c r="S628" s="6">
        <v>51.8</v>
      </c>
      <c r="T628" s="6">
        <f>IF(S628="",MEDIAN($S$2:$S$1409),S628)</f>
        <v>51.8</v>
      </c>
    </row>
    <row r="629" spans="1:20" ht="15" customHeight="1">
      <c r="A629" s="6" t="s">
        <v>663</v>
      </c>
      <c r="B629" s="7">
        <v>45757</v>
      </c>
      <c r="C629" s="6" t="s">
        <v>21</v>
      </c>
      <c r="D629" s="6" t="s">
        <v>36</v>
      </c>
      <c r="E629" s="6" t="s">
        <v>28</v>
      </c>
      <c r="F629" s="6" t="str">
        <f>IF(E629="","Unknown",E629)</f>
        <v>Mobile</v>
      </c>
      <c r="G629" s="6" t="s">
        <v>33</v>
      </c>
      <c r="H629" s="6" t="str">
        <f>IF(G629="","Unknown",G629)</f>
        <v>Paid Search</v>
      </c>
      <c r="I629" s="6" t="s">
        <v>30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f>IF(O629&gt;0,1,0)</f>
        <v>0</v>
      </c>
      <c r="Q629" s="6">
        <v>0</v>
      </c>
      <c r="S629" s="6">
        <v>40.299999999999997</v>
      </c>
      <c r="T629" s="6">
        <f>IF(S629="",MEDIAN($S$2:$S$1409),S629)</f>
        <v>40.299999999999997</v>
      </c>
    </row>
    <row r="630" spans="1:20" ht="15" customHeight="1">
      <c r="A630" s="6" t="s">
        <v>664</v>
      </c>
      <c r="B630" s="7">
        <v>45707</v>
      </c>
      <c r="C630" s="6" t="s">
        <v>21</v>
      </c>
      <c r="D630" s="6" t="s">
        <v>36</v>
      </c>
      <c r="E630" s="6" t="s">
        <v>28</v>
      </c>
      <c r="F630" s="6" t="str">
        <f>IF(E630="","Unknown",E630)</f>
        <v>Mobile</v>
      </c>
      <c r="G630" s="6" t="s">
        <v>43</v>
      </c>
      <c r="H630" s="6" t="str">
        <f>IF(G630="","Unknown",G630)</f>
        <v>Referral</v>
      </c>
      <c r="I630" s="6" t="s">
        <v>30</v>
      </c>
      <c r="J630" s="6">
        <v>1</v>
      </c>
      <c r="K630" s="6">
        <v>1</v>
      </c>
      <c r="L630" s="6">
        <v>1</v>
      </c>
      <c r="M630" s="6">
        <v>0</v>
      </c>
      <c r="N630" s="6">
        <v>0</v>
      </c>
      <c r="O630" s="6">
        <v>0</v>
      </c>
      <c r="P630" s="6">
        <f>IF(O630&gt;0,1,0)</f>
        <v>0</v>
      </c>
      <c r="Q630" s="6">
        <v>0</v>
      </c>
      <c r="S630" s="6">
        <v>61.7</v>
      </c>
      <c r="T630" s="6">
        <f>IF(S630="",MEDIAN($S$2:$S$1409),S630)</f>
        <v>61.7</v>
      </c>
    </row>
    <row r="631" spans="1:20" ht="15" customHeight="1">
      <c r="A631" s="6" t="s">
        <v>665</v>
      </c>
      <c r="B631" s="7">
        <v>45738</v>
      </c>
      <c r="C631" s="6" t="s">
        <v>21</v>
      </c>
      <c r="D631" s="6" t="s">
        <v>22</v>
      </c>
      <c r="E631" s="6" t="s">
        <v>28</v>
      </c>
      <c r="F631" s="6" t="str">
        <f>IF(E631="","Unknown",E631)</f>
        <v>Mobile</v>
      </c>
      <c r="G631" s="6" t="s">
        <v>45</v>
      </c>
      <c r="H631" s="6" t="str">
        <f>IF(G631="","Unknown",G631)</f>
        <v>Social</v>
      </c>
      <c r="I631" s="6" t="s">
        <v>30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>
        <f>IF(O631&gt;0,1,0)</f>
        <v>0</v>
      </c>
      <c r="Q631" s="6">
        <v>0</v>
      </c>
      <c r="S631" s="6">
        <v>45</v>
      </c>
      <c r="T631" s="6">
        <f>IF(S631="",MEDIAN($S$2:$S$1409),S631)</f>
        <v>45</v>
      </c>
    </row>
    <row r="632" spans="1:20" ht="15" customHeight="1">
      <c r="A632" s="6" t="s">
        <v>666</v>
      </c>
      <c r="B632" s="7">
        <v>45755</v>
      </c>
      <c r="C632" s="6" t="s">
        <v>21</v>
      </c>
      <c r="D632" s="6" t="s">
        <v>32</v>
      </c>
      <c r="E632" s="6" t="s">
        <v>23</v>
      </c>
      <c r="F632" s="6" t="str">
        <f>IF(E632="","Unknown",E632)</f>
        <v>Desktop</v>
      </c>
      <c r="G632" s="6" t="s">
        <v>29</v>
      </c>
      <c r="H632" s="6" t="str">
        <f>IF(G632="","Unknown",G632)</f>
        <v>Organic</v>
      </c>
      <c r="I632" s="6" t="s">
        <v>34</v>
      </c>
      <c r="J632" s="6">
        <v>1</v>
      </c>
      <c r="K632" s="6">
        <v>1</v>
      </c>
      <c r="L632" s="6">
        <v>1</v>
      </c>
      <c r="M632" s="6">
        <v>0</v>
      </c>
      <c r="N632" s="6">
        <v>0</v>
      </c>
      <c r="O632" s="6">
        <v>0</v>
      </c>
      <c r="P632" s="6">
        <f>IF(O632&gt;0,1,0)</f>
        <v>0</v>
      </c>
      <c r="Q632" s="6">
        <v>0</v>
      </c>
      <c r="S632" s="6">
        <v>60</v>
      </c>
      <c r="T632" s="6">
        <f>IF(S632="",MEDIAN($S$2:$S$1409),S632)</f>
        <v>60</v>
      </c>
    </row>
    <row r="633" spans="1:20" ht="15" customHeight="1">
      <c r="A633" s="6" t="s">
        <v>667</v>
      </c>
      <c r="B633" s="7">
        <v>45732</v>
      </c>
      <c r="C633" s="6" t="s">
        <v>21</v>
      </c>
      <c r="D633" s="6" t="s">
        <v>22</v>
      </c>
      <c r="E633" s="6" t="s">
        <v>28</v>
      </c>
      <c r="F633" s="6" t="str">
        <f>IF(E633="","Unknown",E633)</f>
        <v>Mobile</v>
      </c>
      <c r="G633" s="6" t="s">
        <v>45</v>
      </c>
      <c r="H633" s="6" t="str">
        <f>IF(G633="","Unknown",G633)</f>
        <v>Social</v>
      </c>
      <c r="I633" s="6" t="s">
        <v>30</v>
      </c>
      <c r="J633" s="6">
        <v>1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f>IF(O633&gt;0,1,0)</f>
        <v>0</v>
      </c>
      <c r="Q633" s="6">
        <v>0</v>
      </c>
      <c r="S633" s="6"/>
      <c r="T633" s="6">
        <f>IF(S633="",MEDIAN($S$2:$S$1409),S633)</f>
        <v>59.9</v>
      </c>
    </row>
    <row r="634" spans="1:20" ht="15" customHeight="1">
      <c r="A634" s="6" t="s">
        <v>668</v>
      </c>
      <c r="B634" s="7">
        <v>45723</v>
      </c>
      <c r="C634" s="6" t="s">
        <v>21</v>
      </c>
      <c r="D634" s="6" t="s">
        <v>32</v>
      </c>
      <c r="E634" s="6" t="s">
        <v>28</v>
      </c>
      <c r="F634" s="6" t="str">
        <f>IF(E634="","Unknown",E634)</f>
        <v>Mobile</v>
      </c>
      <c r="G634" s="6" t="s">
        <v>33</v>
      </c>
      <c r="H634" s="6" t="str">
        <f>IF(G634="","Unknown",G634)</f>
        <v>Paid Search</v>
      </c>
      <c r="I634" s="6" t="s">
        <v>30</v>
      </c>
      <c r="J634" s="6">
        <v>1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f>IF(O634&gt;0,1,0)</f>
        <v>0</v>
      </c>
      <c r="Q634" s="6">
        <v>0</v>
      </c>
      <c r="S634" s="6">
        <v>55.5</v>
      </c>
      <c r="T634" s="6">
        <f>IF(S634="",MEDIAN($S$2:$S$1409),S634)</f>
        <v>55.5</v>
      </c>
    </row>
    <row r="635" spans="1:20" ht="15" customHeight="1">
      <c r="A635" s="6" t="s">
        <v>669</v>
      </c>
      <c r="B635" s="7">
        <v>45732</v>
      </c>
      <c r="C635" s="6" t="s">
        <v>21</v>
      </c>
      <c r="D635" s="6" t="s">
        <v>36</v>
      </c>
      <c r="E635" s="6" t="s">
        <v>28</v>
      </c>
      <c r="F635" s="6" t="str">
        <f>IF(E635="","Unknown",E635)</f>
        <v>Mobile</v>
      </c>
      <c r="G635" s="6" t="s">
        <v>43</v>
      </c>
      <c r="H635" s="6" t="str">
        <f>IF(G635="","Unknown",G635)</f>
        <v>Referral</v>
      </c>
      <c r="I635" s="6" t="s">
        <v>25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f>IF(O635&gt;0,1,0)</f>
        <v>0</v>
      </c>
      <c r="Q635" s="6">
        <v>0</v>
      </c>
      <c r="S635" s="6">
        <v>51.8</v>
      </c>
      <c r="T635" s="6">
        <f>IF(S635="",MEDIAN($S$2:$S$1409),S635)</f>
        <v>51.8</v>
      </c>
    </row>
    <row r="636" spans="1:20" ht="15" customHeight="1">
      <c r="A636" s="6" t="s">
        <v>670</v>
      </c>
      <c r="B636" s="7">
        <v>45803</v>
      </c>
      <c r="C636" s="6" t="s">
        <v>21</v>
      </c>
      <c r="D636" s="6" t="s">
        <v>32</v>
      </c>
      <c r="E636" s="6" t="s">
        <v>28</v>
      </c>
      <c r="F636" s="6" t="str">
        <f>IF(E636="","Unknown",E636)</f>
        <v>Mobile</v>
      </c>
      <c r="G636" s="6"/>
      <c r="H636" s="6" t="str">
        <f>IF(G636="","Unknown",G636)</f>
        <v>Unknown</v>
      </c>
      <c r="I636" s="6" t="s">
        <v>34</v>
      </c>
      <c r="J636" s="6">
        <v>1</v>
      </c>
      <c r="K636" s="6">
        <v>0</v>
      </c>
      <c r="L636" s="6">
        <v>0</v>
      </c>
      <c r="M636" s="6">
        <v>0</v>
      </c>
      <c r="N636" s="6">
        <v>0</v>
      </c>
      <c r="O636" s="6">
        <v>3</v>
      </c>
      <c r="P636" s="6">
        <f>IF(O636&gt;0,1,0)</f>
        <v>1</v>
      </c>
      <c r="Q636" s="6">
        <v>0</v>
      </c>
      <c r="S636" s="6">
        <v>56</v>
      </c>
      <c r="T636" s="6">
        <f>IF(S636="",MEDIAN($S$2:$S$1409),S636)</f>
        <v>56</v>
      </c>
    </row>
    <row r="637" spans="1:20" ht="15" customHeight="1">
      <c r="A637" s="6" t="s">
        <v>671</v>
      </c>
      <c r="B637" s="7">
        <v>45671</v>
      </c>
      <c r="C637" s="6" t="s">
        <v>21</v>
      </c>
      <c r="D637" s="6" t="s">
        <v>27</v>
      </c>
      <c r="E637" s="6" t="s">
        <v>28</v>
      </c>
      <c r="F637" s="6" t="str">
        <f>IF(E637="","Unknown",E637)</f>
        <v>Mobile</v>
      </c>
      <c r="G637" s="6" t="s">
        <v>29</v>
      </c>
      <c r="H637" s="6" t="str">
        <f>IF(G637="","Unknown",G637)</f>
        <v>Organic</v>
      </c>
      <c r="I637" s="6" t="s">
        <v>30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f>IF(O637&gt;0,1,0)</f>
        <v>0</v>
      </c>
      <c r="Q637" s="6">
        <v>0</v>
      </c>
      <c r="S637" s="6">
        <v>52.5</v>
      </c>
      <c r="T637" s="6">
        <f>IF(S637="",MEDIAN($S$2:$S$1409),S637)</f>
        <v>52.5</v>
      </c>
    </row>
    <row r="638" spans="1:20" ht="15" customHeight="1">
      <c r="A638" s="6" t="s">
        <v>672</v>
      </c>
      <c r="B638" s="7">
        <v>45746</v>
      </c>
      <c r="C638" s="6" t="s">
        <v>21</v>
      </c>
      <c r="D638" s="6" t="s">
        <v>27</v>
      </c>
      <c r="E638" s="6" t="s">
        <v>28</v>
      </c>
      <c r="F638" s="6" t="str">
        <f>IF(E638="","Unknown",E638)</f>
        <v>Mobile</v>
      </c>
      <c r="G638" s="6" t="s">
        <v>33</v>
      </c>
      <c r="H638" s="6" t="str">
        <f>IF(G638="","Unknown",G638)</f>
        <v>Paid Search</v>
      </c>
      <c r="I638" s="6" t="s">
        <v>34</v>
      </c>
      <c r="J638" s="6">
        <v>1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f>IF(O638&gt;0,1,0)</f>
        <v>0</v>
      </c>
      <c r="Q638" s="6">
        <v>0</v>
      </c>
      <c r="S638" s="6">
        <v>42.5</v>
      </c>
      <c r="T638" s="6">
        <f>IF(S638="",MEDIAN($S$2:$S$1409),S638)</f>
        <v>42.5</v>
      </c>
    </row>
    <row r="639" spans="1:20" ht="15" customHeight="1">
      <c r="A639" s="6" t="s">
        <v>673</v>
      </c>
      <c r="B639" s="7">
        <v>45789</v>
      </c>
      <c r="C639" s="6" t="s">
        <v>21</v>
      </c>
      <c r="D639" s="6" t="s">
        <v>32</v>
      </c>
      <c r="E639" s="6" t="s">
        <v>23</v>
      </c>
      <c r="F639" s="6" t="str">
        <f>IF(E639="","Unknown",E639)</f>
        <v>Desktop</v>
      </c>
      <c r="G639" s="6" t="s">
        <v>24</v>
      </c>
      <c r="H639" s="6" t="str">
        <f>IF(G639="","Unknown",G639)</f>
        <v>Email</v>
      </c>
      <c r="I639" s="6" t="s">
        <v>30</v>
      </c>
      <c r="J639" s="6">
        <v>1</v>
      </c>
      <c r="K639" s="6">
        <v>1</v>
      </c>
      <c r="L639" s="6">
        <v>1</v>
      </c>
      <c r="M639" s="6">
        <v>0</v>
      </c>
      <c r="N639" s="6">
        <v>0</v>
      </c>
      <c r="O639" s="6">
        <v>0</v>
      </c>
      <c r="P639" s="6">
        <f>IF(O639&gt;0,1,0)</f>
        <v>0</v>
      </c>
      <c r="Q639" s="6">
        <v>0</v>
      </c>
      <c r="S639" s="6">
        <v>65.3</v>
      </c>
      <c r="T639" s="6">
        <f>IF(S639="",MEDIAN($S$2:$S$1409),S639)</f>
        <v>65.3</v>
      </c>
    </row>
    <row r="640" spans="1:20" ht="15" customHeight="1">
      <c r="A640" s="6" t="s">
        <v>674</v>
      </c>
      <c r="B640" s="7">
        <v>45787</v>
      </c>
      <c r="C640" s="6" t="s">
        <v>21</v>
      </c>
      <c r="D640" s="6" t="s">
        <v>27</v>
      </c>
      <c r="E640" s="6" t="s">
        <v>28</v>
      </c>
      <c r="F640" s="6" t="str">
        <f>IF(E640="","Unknown",E640)</f>
        <v>Mobile</v>
      </c>
      <c r="G640" s="6" t="s">
        <v>33</v>
      </c>
      <c r="H640" s="6" t="str">
        <f>IF(G640="","Unknown",G640)</f>
        <v>Paid Search</v>
      </c>
      <c r="I640" s="6" t="s">
        <v>30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f>IF(O640&gt;0,1,0)</f>
        <v>0</v>
      </c>
      <c r="Q640" s="6">
        <v>0</v>
      </c>
      <c r="S640" s="6">
        <v>37.6</v>
      </c>
      <c r="T640" s="6">
        <f>IF(S640="",MEDIAN($S$2:$S$1409),S640)</f>
        <v>37.6</v>
      </c>
    </row>
    <row r="641" spans="1:20" ht="15" customHeight="1">
      <c r="A641" s="6" t="s">
        <v>675</v>
      </c>
      <c r="B641" s="7">
        <v>45756</v>
      </c>
      <c r="C641" s="6" t="s">
        <v>21</v>
      </c>
      <c r="D641" s="6" t="s">
        <v>32</v>
      </c>
      <c r="E641" s="6" t="s">
        <v>28</v>
      </c>
      <c r="F641" s="6" t="str">
        <f>IF(E641="","Unknown",E641)</f>
        <v>Mobile</v>
      </c>
      <c r="G641" s="6" t="s">
        <v>45</v>
      </c>
      <c r="H641" s="6" t="str">
        <f>IF(G641="","Unknown",G641)</f>
        <v>Social</v>
      </c>
      <c r="I641" s="6" t="s">
        <v>25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f>IF(O641&gt;0,1,0)</f>
        <v>0</v>
      </c>
      <c r="Q641" s="6">
        <v>0</v>
      </c>
      <c r="S641" s="6">
        <v>57.8</v>
      </c>
      <c r="T641" s="6">
        <f>IF(S641="",MEDIAN($S$2:$S$1409),S641)</f>
        <v>57.8</v>
      </c>
    </row>
    <row r="642" spans="1:20" ht="15" customHeight="1">
      <c r="A642" s="6" t="s">
        <v>676</v>
      </c>
      <c r="B642" s="7">
        <v>45803</v>
      </c>
      <c r="C642" s="6" t="s">
        <v>21</v>
      </c>
      <c r="D642" s="6" t="s">
        <v>22</v>
      </c>
      <c r="E642" s="6" t="s">
        <v>28</v>
      </c>
      <c r="F642" s="6" t="str">
        <f>IF(E642="","Unknown",E642)</f>
        <v>Mobile</v>
      </c>
      <c r="G642" s="6" t="s">
        <v>45</v>
      </c>
      <c r="H642" s="6" t="str">
        <f>IF(G642="","Unknown",G642)</f>
        <v>Social</v>
      </c>
      <c r="I642" s="6" t="s">
        <v>30</v>
      </c>
      <c r="J642" s="6">
        <v>1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f>IF(O642&gt;0,1,0)</f>
        <v>0</v>
      </c>
      <c r="Q642" s="6">
        <v>0</v>
      </c>
      <c r="S642" s="6">
        <v>52.7</v>
      </c>
      <c r="T642" s="6">
        <f>IF(S642="",MEDIAN($S$2:$S$1409),S642)</f>
        <v>52.7</v>
      </c>
    </row>
    <row r="643" spans="1:20" ht="15" customHeight="1">
      <c r="A643" s="6" t="s">
        <v>677</v>
      </c>
      <c r="B643" s="7">
        <v>45700</v>
      </c>
      <c r="C643" s="6" t="s">
        <v>21</v>
      </c>
      <c r="D643" s="6" t="s">
        <v>22</v>
      </c>
      <c r="E643" s="6" t="s">
        <v>28</v>
      </c>
      <c r="F643" s="6" t="str">
        <f>IF(E643="","Unknown",E643)</f>
        <v>Mobile</v>
      </c>
      <c r="G643" s="6" t="s">
        <v>29</v>
      </c>
      <c r="H643" s="6" t="str">
        <f>IF(G643="","Unknown",G643)</f>
        <v>Organic</v>
      </c>
      <c r="I643" s="6" t="s">
        <v>30</v>
      </c>
      <c r="J643" s="6">
        <v>1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f>IF(O643&gt;0,1,0)</f>
        <v>0</v>
      </c>
      <c r="Q643" s="6">
        <v>0</v>
      </c>
      <c r="S643" s="6">
        <v>51.7</v>
      </c>
      <c r="T643" s="6">
        <f>IF(S643="",MEDIAN($S$2:$S$1409),S643)</f>
        <v>51.7</v>
      </c>
    </row>
    <row r="644" spans="1:20" ht="15" customHeight="1">
      <c r="A644" s="6" t="s">
        <v>678</v>
      </c>
      <c r="B644" s="7">
        <v>45748</v>
      </c>
      <c r="C644" s="6" t="s">
        <v>21</v>
      </c>
      <c r="D644" s="6" t="s">
        <v>22</v>
      </c>
      <c r="E644" s="6" t="s">
        <v>23</v>
      </c>
      <c r="F644" s="6" t="str">
        <f>IF(E644="","Unknown",E644)</f>
        <v>Desktop</v>
      </c>
      <c r="G644" s="6" t="s">
        <v>24</v>
      </c>
      <c r="H644" s="6" t="str">
        <f>IF(G644="","Unknown",G644)</f>
        <v>Email</v>
      </c>
      <c r="I644" s="6" t="s">
        <v>25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f>IF(O644&gt;0,1,0)</f>
        <v>0</v>
      </c>
      <c r="Q644" s="6">
        <v>0</v>
      </c>
      <c r="S644" s="6">
        <v>57</v>
      </c>
      <c r="T644" s="6">
        <f>IF(S644="",MEDIAN($S$2:$S$1409),S644)</f>
        <v>57</v>
      </c>
    </row>
    <row r="645" spans="1:20" ht="15" customHeight="1">
      <c r="A645" s="6" t="s">
        <v>679</v>
      </c>
      <c r="B645" s="7">
        <v>45675</v>
      </c>
      <c r="C645" s="6" t="s">
        <v>21</v>
      </c>
      <c r="D645" s="6" t="s">
        <v>36</v>
      </c>
      <c r="E645" s="6" t="s">
        <v>23</v>
      </c>
      <c r="F645" s="6" t="str">
        <f>IF(E645="","Unknown",E645)</f>
        <v>Desktop</v>
      </c>
      <c r="G645" s="6" t="s">
        <v>29</v>
      </c>
      <c r="H645" s="6" t="str">
        <f>IF(G645="","Unknown",G645)</f>
        <v>Organic</v>
      </c>
      <c r="I645" s="6" t="s">
        <v>25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f>IF(O645&gt;0,1,0)</f>
        <v>0</v>
      </c>
      <c r="Q645" s="6">
        <v>0</v>
      </c>
      <c r="S645" s="6">
        <v>39.5</v>
      </c>
      <c r="T645" s="6">
        <f>IF(S645="",MEDIAN($S$2:$S$1409),S645)</f>
        <v>39.5</v>
      </c>
    </row>
    <row r="646" spans="1:20" ht="15" customHeight="1">
      <c r="A646" s="6" t="s">
        <v>680</v>
      </c>
      <c r="B646" s="7">
        <v>45753</v>
      </c>
      <c r="C646" s="6" t="s">
        <v>21</v>
      </c>
      <c r="D646" s="6" t="s">
        <v>32</v>
      </c>
      <c r="E646" s="6" t="s">
        <v>38</v>
      </c>
      <c r="F646" s="6" t="str">
        <f>IF(E646="","Unknown",E646)</f>
        <v>Tablet</v>
      </c>
      <c r="G646" s="6" t="s">
        <v>29</v>
      </c>
      <c r="H646" s="6" t="str">
        <f>IF(G646="","Unknown",G646)</f>
        <v>Organic</v>
      </c>
      <c r="I646" s="6" t="s">
        <v>30</v>
      </c>
      <c r="J646" s="6">
        <v>1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f>IF(O646&gt;0,1,0)</f>
        <v>0</v>
      </c>
      <c r="Q646" s="6">
        <v>0</v>
      </c>
      <c r="S646" s="6">
        <v>76.5</v>
      </c>
      <c r="T646" s="6">
        <f>IF(S646="",MEDIAN($S$2:$S$1409),S646)</f>
        <v>76.5</v>
      </c>
    </row>
    <row r="647" spans="1:20" ht="15" customHeight="1">
      <c r="A647" s="6" t="s">
        <v>681</v>
      </c>
      <c r="B647" s="7">
        <v>45764</v>
      </c>
      <c r="C647" s="6" t="s">
        <v>21</v>
      </c>
      <c r="D647" s="6" t="s">
        <v>32</v>
      </c>
      <c r="E647" s="6" t="s">
        <v>28</v>
      </c>
      <c r="F647" s="6" t="str">
        <f>IF(E647="","Unknown",E647)</f>
        <v>Mobile</v>
      </c>
      <c r="G647" s="6" t="s">
        <v>29</v>
      </c>
      <c r="H647" s="6" t="str">
        <f>IF(G647="","Unknown",G647)</f>
        <v>Organic</v>
      </c>
      <c r="I647" s="6" t="s">
        <v>30</v>
      </c>
      <c r="J647" s="6">
        <v>1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f>IF(O647&gt;0,1,0)</f>
        <v>0</v>
      </c>
      <c r="Q647" s="6">
        <v>0</v>
      </c>
      <c r="S647" s="6">
        <v>32.4</v>
      </c>
      <c r="T647" s="6">
        <f>IF(S647="",MEDIAN($S$2:$S$1409),S647)</f>
        <v>32.4</v>
      </c>
    </row>
    <row r="648" spans="1:20" ht="15" customHeight="1">
      <c r="A648" s="6" t="s">
        <v>682</v>
      </c>
      <c r="B648" s="7">
        <v>45695</v>
      </c>
      <c r="C648" s="6" t="s">
        <v>21</v>
      </c>
      <c r="D648" s="6" t="s">
        <v>22</v>
      </c>
      <c r="E648" s="6" t="s">
        <v>23</v>
      </c>
      <c r="F648" s="6" t="str">
        <f>IF(E648="","Unknown",E648)</f>
        <v>Desktop</v>
      </c>
      <c r="G648" s="6" t="s">
        <v>33</v>
      </c>
      <c r="H648" s="6" t="str">
        <f>IF(G648="","Unknown",G648)</f>
        <v>Paid Search</v>
      </c>
      <c r="I648" s="6" t="s">
        <v>30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f>IF(O648&gt;0,1,0)</f>
        <v>0</v>
      </c>
      <c r="Q648" s="6">
        <v>0</v>
      </c>
      <c r="S648" s="6">
        <v>58.6</v>
      </c>
      <c r="T648" s="6">
        <f>IF(S648="",MEDIAN($S$2:$S$1409),S648)</f>
        <v>58.6</v>
      </c>
    </row>
    <row r="649" spans="1:20" ht="15" customHeight="1">
      <c r="A649" s="6" t="s">
        <v>683</v>
      </c>
      <c r="B649" s="7">
        <v>45720</v>
      </c>
      <c r="C649" s="6" t="s">
        <v>21</v>
      </c>
      <c r="D649" s="6" t="s">
        <v>32</v>
      </c>
      <c r="E649" s="6" t="s">
        <v>28</v>
      </c>
      <c r="F649" s="6" t="str">
        <f>IF(E649="","Unknown",E649)</f>
        <v>Mobile</v>
      </c>
      <c r="G649" s="6" t="s">
        <v>29</v>
      </c>
      <c r="H649" s="6" t="str">
        <f>IF(G649="","Unknown",G649)</f>
        <v>Organic</v>
      </c>
      <c r="I649" s="6" t="s">
        <v>25</v>
      </c>
      <c r="J649" s="6">
        <v>1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f>IF(O649&gt;0,1,0)</f>
        <v>0</v>
      </c>
      <c r="Q649" s="6">
        <v>0</v>
      </c>
      <c r="S649" s="6">
        <v>78.599999999999994</v>
      </c>
      <c r="T649" s="6">
        <f>IF(S649="",MEDIAN($S$2:$S$1409),S649)</f>
        <v>78.599999999999994</v>
      </c>
    </row>
    <row r="650" spans="1:20" ht="15" customHeight="1">
      <c r="A650" s="6" t="s">
        <v>684</v>
      </c>
      <c r="B650" s="7">
        <v>45705</v>
      </c>
      <c r="C650" s="6" t="s">
        <v>21</v>
      </c>
      <c r="D650" s="6" t="s">
        <v>22</v>
      </c>
      <c r="E650" s="6" t="s">
        <v>23</v>
      </c>
      <c r="F650" s="6" t="str">
        <f>IF(E650="","Unknown",E650)</f>
        <v>Desktop</v>
      </c>
      <c r="G650" s="6" t="s">
        <v>29</v>
      </c>
      <c r="H650" s="6" t="str">
        <f>IF(G650="","Unknown",G650)</f>
        <v>Organic</v>
      </c>
      <c r="I650" s="6" t="s">
        <v>34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f>IF(O650&gt;0,1,0)</f>
        <v>0</v>
      </c>
      <c r="Q650" s="6">
        <v>0</v>
      </c>
      <c r="S650" s="6">
        <v>54.5</v>
      </c>
      <c r="T650" s="6">
        <f>IF(S650="",MEDIAN($S$2:$S$1409),S650)</f>
        <v>54.5</v>
      </c>
    </row>
    <row r="651" spans="1:20" ht="15" customHeight="1">
      <c r="A651" s="6" t="s">
        <v>685</v>
      </c>
      <c r="B651" s="7">
        <v>45783</v>
      </c>
      <c r="C651" s="6" t="s">
        <v>21</v>
      </c>
      <c r="D651" s="6" t="s">
        <v>36</v>
      </c>
      <c r="E651" s="6" t="s">
        <v>28</v>
      </c>
      <c r="F651" s="6" t="str">
        <f>IF(E651="","Unknown",E651)</f>
        <v>Mobile</v>
      </c>
      <c r="G651" s="6" t="s">
        <v>43</v>
      </c>
      <c r="H651" s="6" t="str">
        <f>IF(G651="","Unknown",G651)</f>
        <v>Referral</v>
      </c>
      <c r="I651" s="6" t="s">
        <v>30</v>
      </c>
      <c r="J651" s="6">
        <v>1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f>IF(O651&gt;0,1,0)</f>
        <v>0</v>
      </c>
      <c r="Q651" s="6">
        <v>0</v>
      </c>
      <c r="S651" s="6">
        <v>57.6</v>
      </c>
      <c r="T651" s="6">
        <f>IF(S651="",MEDIAN($S$2:$S$1409),S651)</f>
        <v>57.6</v>
      </c>
    </row>
    <row r="652" spans="1:20" ht="15" customHeight="1">
      <c r="A652" s="6" t="s">
        <v>686</v>
      </c>
      <c r="B652" s="7">
        <v>45741</v>
      </c>
      <c r="C652" s="6" t="s">
        <v>21</v>
      </c>
      <c r="D652" s="6" t="s">
        <v>36</v>
      </c>
      <c r="E652" s="6" t="s">
        <v>28</v>
      </c>
      <c r="F652" s="6" t="str">
        <f>IF(E652="","Unknown",E652)</f>
        <v>Mobile</v>
      </c>
      <c r="G652" s="6" t="s">
        <v>43</v>
      </c>
      <c r="H652" s="6" t="str">
        <f>IF(G652="","Unknown",G652)</f>
        <v>Referral</v>
      </c>
      <c r="I652" s="6" t="s">
        <v>34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f>IF(O652&gt;0,1,0)</f>
        <v>0</v>
      </c>
      <c r="Q652" s="6">
        <v>0</v>
      </c>
      <c r="S652" s="6">
        <v>52.8</v>
      </c>
      <c r="T652" s="6">
        <f>IF(S652="",MEDIAN($S$2:$S$1409),S652)</f>
        <v>52.8</v>
      </c>
    </row>
    <row r="653" spans="1:20" ht="15" customHeight="1">
      <c r="A653" s="6" t="s">
        <v>687</v>
      </c>
      <c r="B653" s="7">
        <v>45720</v>
      </c>
      <c r="C653" s="6" t="s">
        <v>21</v>
      </c>
      <c r="D653" s="6" t="s">
        <v>27</v>
      </c>
      <c r="E653" s="6" t="s">
        <v>28</v>
      </c>
      <c r="F653" s="6" t="str">
        <f>IF(E653="","Unknown",E653)</f>
        <v>Mobile</v>
      </c>
      <c r="G653" s="6" t="s">
        <v>24</v>
      </c>
      <c r="H653" s="6" t="str">
        <f>IF(G653="","Unknown",G653)</f>
        <v>Email</v>
      </c>
      <c r="I653" s="6" t="s">
        <v>34</v>
      </c>
      <c r="J653" s="6">
        <v>1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f>IF(O653&gt;0,1,0)</f>
        <v>0</v>
      </c>
      <c r="Q653" s="6">
        <v>0</v>
      </c>
      <c r="S653" s="6">
        <v>52.9</v>
      </c>
      <c r="T653" s="6">
        <f>IF(S653="",MEDIAN($S$2:$S$1409),S653)</f>
        <v>52.9</v>
      </c>
    </row>
    <row r="654" spans="1:20" ht="15" customHeight="1">
      <c r="A654" s="6" t="s">
        <v>688</v>
      </c>
      <c r="B654" s="7">
        <v>45786</v>
      </c>
      <c r="C654" s="6" t="s">
        <v>21</v>
      </c>
      <c r="D654" s="6" t="s">
        <v>27</v>
      </c>
      <c r="E654" s="6" t="s">
        <v>28</v>
      </c>
      <c r="F654" s="6" t="str">
        <f>IF(E654="","Unknown",E654)</f>
        <v>Mobile</v>
      </c>
      <c r="G654" s="6" t="s">
        <v>29</v>
      </c>
      <c r="H654" s="6" t="str">
        <f>IF(G654="","Unknown",G654)</f>
        <v>Organic</v>
      </c>
      <c r="I654" s="6" t="s">
        <v>30</v>
      </c>
      <c r="J654" s="6">
        <v>1</v>
      </c>
      <c r="K654" s="6">
        <v>0</v>
      </c>
      <c r="L654" s="6">
        <v>0</v>
      </c>
      <c r="M654" s="6">
        <v>0</v>
      </c>
      <c r="N654" s="6">
        <v>0</v>
      </c>
      <c r="O654" s="6">
        <v>1</v>
      </c>
      <c r="P654" s="6">
        <f>IF(O654&gt;0,1,0)</f>
        <v>1</v>
      </c>
      <c r="Q654" s="6">
        <v>0</v>
      </c>
      <c r="S654" s="6">
        <v>55.9</v>
      </c>
      <c r="T654" s="6">
        <f>IF(S654="",MEDIAN($S$2:$S$1409),S654)</f>
        <v>55.9</v>
      </c>
    </row>
    <row r="655" spans="1:20" ht="15" customHeight="1">
      <c r="A655" s="6" t="s">
        <v>689</v>
      </c>
      <c r="B655" s="7">
        <v>45794</v>
      </c>
      <c r="C655" s="6" t="s">
        <v>21</v>
      </c>
      <c r="D655" s="6" t="s">
        <v>27</v>
      </c>
      <c r="E655" s="6" t="s">
        <v>28</v>
      </c>
      <c r="F655" s="6" t="str">
        <f>IF(E655="","Unknown",E655)</f>
        <v>Mobile</v>
      </c>
      <c r="G655" s="6" t="s">
        <v>43</v>
      </c>
      <c r="H655" s="6" t="str">
        <f>IF(G655="","Unknown",G655)</f>
        <v>Referral</v>
      </c>
      <c r="I655" s="6" t="s">
        <v>34</v>
      </c>
      <c r="J655" s="6">
        <v>1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f>IF(O655&gt;0,1,0)</f>
        <v>0</v>
      </c>
      <c r="Q655" s="6">
        <v>0</v>
      </c>
      <c r="S655" s="6">
        <v>74.2</v>
      </c>
      <c r="T655" s="6">
        <f>IF(S655="",MEDIAN($S$2:$S$1409),S655)</f>
        <v>74.2</v>
      </c>
    </row>
    <row r="656" spans="1:20" ht="15" customHeight="1">
      <c r="A656" s="6" t="s">
        <v>690</v>
      </c>
      <c r="B656" s="7">
        <v>45669</v>
      </c>
      <c r="C656" s="6" t="s">
        <v>21</v>
      </c>
      <c r="D656" s="6" t="s">
        <v>27</v>
      </c>
      <c r="E656" s="6" t="s">
        <v>28</v>
      </c>
      <c r="F656" s="6" t="str">
        <f>IF(E656="","Unknown",E656)</f>
        <v>Mobile</v>
      </c>
      <c r="G656" s="6" t="s">
        <v>29</v>
      </c>
      <c r="H656" s="6" t="str">
        <f>IF(G656="","Unknown",G656)</f>
        <v>Organic</v>
      </c>
      <c r="I656" s="6" t="s">
        <v>30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f>IF(O656&gt;0,1,0)</f>
        <v>0</v>
      </c>
      <c r="Q656" s="6">
        <v>0</v>
      </c>
      <c r="S656" s="6">
        <v>46.3</v>
      </c>
      <c r="T656" s="6">
        <f>IF(S656="",MEDIAN($S$2:$S$1409),S656)</f>
        <v>46.3</v>
      </c>
    </row>
    <row r="657" spans="1:20" ht="15" customHeight="1">
      <c r="A657" s="6" t="s">
        <v>691</v>
      </c>
      <c r="B657" s="7">
        <v>45728</v>
      </c>
      <c r="C657" s="6" t="s">
        <v>21</v>
      </c>
      <c r="D657" s="6" t="s">
        <v>27</v>
      </c>
      <c r="E657" s="6" t="s">
        <v>28</v>
      </c>
      <c r="F657" s="6" t="str">
        <f>IF(E657="","Unknown",E657)</f>
        <v>Mobile</v>
      </c>
      <c r="G657" s="6" t="s">
        <v>29</v>
      </c>
      <c r="H657" s="6" t="str">
        <f>IF(G657="","Unknown",G657)</f>
        <v>Organic</v>
      </c>
      <c r="I657" s="6" t="s">
        <v>34</v>
      </c>
      <c r="J657" s="6">
        <v>1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f>IF(O657&gt;0,1,0)</f>
        <v>0</v>
      </c>
      <c r="Q657" s="6">
        <v>0</v>
      </c>
      <c r="S657" s="6">
        <v>62</v>
      </c>
      <c r="T657" s="6">
        <f>IF(S657="",MEDIAN($S$2:$S$1409),S657)</f>
        <v>62</v>
      </c>
    </row>
    <row r="658" spans="1:20" ht="15" customHeight="1">
      <c r="A658" s="6" t="s">
        <v>692</v>
      </c>
      <c r="B658" s="7">
        <v>45749</v>
      </c>
      <c r="C658" s="6" t="s">
        <v>21</v>
      </c>
      <c r="D658" s="6" t="s">
        <v>36</v>
      </c>
      <c r="E658" s="6" t="s">
        <v>28</v>
      </c>
      <c r="F658" s="6" t="str">
        <f>IF(E658="","Unknown",E658)</f>
        <v>Mobile</v>
      </c>
      <c r="G658" s="6" t="s">
        <v>29</v>
      </c>
      <c r="H658" s="6" t="str">
        <f>IF(G658="","Unknown",G658)</f>
        <v>Organic</v>
      </c>
      <c r="I658" s="6" t="s">
        <v>25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f>IF(O658&gt;0,1,0)</f>
        <v>0</v>
      </c>
      <c r="Q658" s="6">
        <v>0</v>
      </c>
      <c r="S658" s="6">
        <v>55.6</v>
      </c>
      <c r="T658" s="6">
        <f>IF(S658="",MEDIAN($S$2:$S$1409),S658)</f>
        <v>55.6</v>
      </c>
    </row>
    <row r="659" spans="1:20" ht="15" customHeight="1">
      <c r="A659" s="6" t="s">
        <v>693</v>
      </c>
      <c r="B659" s="7">
        <v>45670</v>
      </c>
      <c r="C659" s="6" t="s">
        <v>21</v>
      </c>
      <c r="D659" s="6" t="s">
        <v>36</v>
      </c>
      <c r="E659" s="6" t="s">
        <v>28</v>
      </c>
      <c r="F659" s="6" t="str">
        <f>IF(E659="","Unknown",E659)</f>
        <v>Mobile</v>
      </c>
      <c r="G659" s="6" t="s">
        <v>29</v>
      </c>
      <c r="H659" s="6" t="str">
        <f>IF(G659="","Unknown",G659)</f>
        <v>Organic</v>
      </c>
      <c r="I659" s="6" t="s">
        <v>25</v>
      </c>
      <c r="J659" s="6">
        <v>1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f>IF(O659&gt;0,1,0)</f>
        <v>0</v>
      </c>
      <c r="Q659" s="6">
        <v>0</v>
      </c>
      <c r="S659" s="6">
        <v>62.8</v>
      </c>
      <c r="T659" s="6">
        <f>IF(S659="",MEDIAN($S$2:$S$1409),S659)</f>
        <v>62.8</v>
      </c>
    </row>
    <row r="660" spans="1:20" ht="15" customHeight="1">
      <c r="A660" s="6" t="s">
        <v>694</v>
      </c>
      <c r="B660" s="7">
        <v>45723</v>
      </c>
      <c r="C660" s="6" t="s">
        <v>21</v>
      </c>
      <c r="D660" s="6" t="s">
        <v>32</v>
      </c>
      <c r="E660" s="6" t="s">
        <v>28</v>
      </c>
      <c r="F660" s="6" t="str">
        <f>IF(E660="","Unknown",E660)</f>
        <v>Mobile</v>
      </c>
      <c r="G660" s="6" t="s">
        <v>43</v>
      </c>
      <c r="H660" s="6" t="str">
        <f>IF(G660="","Unknown",G660)</f>
        <v>Referral</v>
      </c>
      <c r="I660" s="6" t="s">
        <v>30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f>IF(O660&gt;0,1,0)</f>
        <v>0</v>
      </c>
      <c r="Q660" s="6">
        <v>0</v>
      </c>
      <c r="S660" s="6">
        <v>73.099999999999994</v>
      </c>
      <c r="T660" s="6">
        <f>IF(S660="",MEDIAN($S$2:$S$1409),S660)</f>
        <v>73.099999999999994</v>
      </c>
    </row>
    <row r="661" spans="1:20" ht="15" customHeight="1">
      <c r="A661" s="6" t="s">
        <v>695</v>
      </c>
      <c r="B661" s="7">
        <v>45767</v>
      </c>
      <c r="C661" s="6" t="s">
        <v>21</v>
      </c>
      <c r="D661" s="6" t="s">
        <v>36</v>
      </c>
      <c r="E661" s="6" t="s">
        <v>23</v>
      </c>
      <c r="F661" s="6" t="str">
        <f>IF(E661="","Unknown",E661)</f>
        <v>Desktop</v>
      </c>
      <c r="G661" s="6" t="s">
        <v>45</v>
      </c>
      <c r="H661" s="6" t="str">
        <f>IF(G661="","Unknown",G661)</f>
        <v>Social</v>
      </c>
      <c r="I661" s="6" t="s">
        <v>30</v>
      </c>
      <c r="J661" s="6">
        <v>1</v>
      </c>
      <c r="K661" s="6">
        <v>1</v>
      </c>
      <c r="L661" s="6">
        <v>1</v>
      </c>
      <c r="M661" s="6">
        <v>1</v>
      </c>
      <c r="N661" s="6">
        <v>347.52</v>
      </c>
      <c r="O661" s="6">
        <v>0</v>
      </c>
      <c r="P661" s="6">
        <f>IF(O661&gt;0,1,0)</f>
        <v>0</v>
      </c>
      <c r="Q661" s="6">
        <v>0</v>
      </c>
      <c r="R661" s="6">
        <v>2</v>
      </c>
      <c r="S661" s="6">
        <v>57.2</v>
      </c>
      <c r="T661" s="6">
        <f>IF(S661="",MEDIAN($S$2:$S$1409),S661)</f>
        <v>57.2</v>
      </c>
    </row>
    <row r="662" spans="1:20" ht="15" customHeight="1">
      <c r="A662" s="6" t="s">
        <v>696</v>
      </c>
      <c r="B662" s="7">
        <v>45664</v>
      </c>
      <c r="C662" s="6" t="s">
        <v>21</v>
      </c>
      <c r="D662" s="6" t="s">
        <v>36</v>
      </c>
      <c r="E662" s="6" t="s">
        <v>28</v>
      </c>
      <c r="F662" s="6" t="str">
        <f>IF(E662="","Unknown",E662)</f>
        <v>Mobile</v>
      </c>
      <c r="G662" s="6" t="s">
        <v>33</v>
      </c>
      <c r="H662" s="6" t="str">
        <f>IF(G662="","Unknown",G662)</f>
        <v>Paid Search</v>
      </c>
      <c r="I662" s="6" t="s">
        <v>30</v>
      </c>
      <c r="J662" s="6">
        <v>1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f>IF(O662&gt;0,1,0)</f>
        <v>0</v>
      </c>
      <c r="Q662" s="6">
        <v>0</v>
      </c>
      <c r="S662" s="6">
        <v>67.900000000000006</v>
      </c>
      <c r="T662" s="6">
        <f>IF(S662="",MEDIAN($S$2:$S$1409),S662)</f>
        <v>67.900000000000006</v>
      </c>
    </row>
    <row r="663" spans="1:20" ht="15" customHeight="1">
      <c r="A663" s="6" t="s">
        <v>697</v>
      </c>
      <c r="B663" s="7">
        <v>45770</v>
      </c>
      <c r="C663" s="6" t="s">
        <v>21</v>
      </c>
      <c r="D663" s="6" t="s">
        <v>36</v>
      </c>
      <c r="E663" s="6" t="s">
        <v>28</v>
      </c>
      <c r="F663" s="6" t="str">
        <f>IF(E663="","Unknown",E663)</f>
        <v>Mobile</v>
      </c>
      <c r="G663" s="6" t="s">
        <v>43</v>
      </c>
      <c r="H663" s="6" t="str">
        <f>IF(G663="","Unknown",G663)</f>
        <v>Referral</v>
      </c>
      <c r="I663" s="6" t="s">
        <v>30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>
        <f>IF(O663&gt;0,1,0)</f>
        <v>0</v>
      </c>
      <c r="Q663" s="6">
        <v>0</v>
      </c>
      <c r="S663" s="6">
        <v>50.1</v>
      </c>
      <c r="T663" s="6">
        <f>IF(S663="",MEDIAN($S$2:$S$1409),S663)</f>
        <v>50.1</v>
      </c>
    </row>
    <row r="664" spans="1:20" ht="15" customHeight="1">
      <c r="A664" s="6" t="s">
        <v>698</v>
      </c>
      <c r="B664" s="7">
        <v>45803</v>
      </c>
      <c r="C664" s="6" t="s">
        <v>21</v>
      </c>
      <c r="D664" s="6" t="s">
        <v>22</v>
      </c>
      <c r="E664" s="6" t="s">
        <v>28</v>
      </c>
      <c r="F664" s="6" t="str">
        <f>IF(E664="","Unknown",E664)</f>
        <v>Mobile</v>
      </c>
      <c r="G664" s="6" t="s">
        <v>33</v>
      </c>
      <c r="H664" s="6" t="str">
        <f>IF(G664="","Unknown",G664)</f>
        <v>Paid Search</v>
      </c>
      <c r="I664" s="6" t="s">
        <v>25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f>IF(O664&gt;0,1,0)</f>
        <v>0</v>
      </c>
      <c r="Q664" s="6">
        <v>0</v>
      </c>
      <c r="S664" s="6">
        <v>67.8</v>
      </c>
      <c r="T664" s="6">
        <f>IF(S664="",MEDIAN($S$2:$S$1409),S664)</f>
        <v>67.8</v>
      </c>
    </row>
    <row r="665" spans="1:20" ht="15" customHeight="1">
      <c r="A665" s="6" t="s">
        <v>699</v>
      </c>
      <c r="B665" s="7">
        <v>45733</v>
      </c>
      <c r="C665" s="6" t="s">
        <v>21</v>
      </c>
      <c r="D665" s="6" t="s">
        <v>22</v>
      </c>
      <c r="E665" s="6" t="s">
        <v>23</v>
      </c>
      <c r="F665" s="6" t="str">
        <f>IF(E665="","Unknown",E665)</f>
        <v>Desktop</v>
      </c>
      <c r="G665" s="6" t="s">
        <v>45</v>
      </c>
      <c r="H665" s="6" t="str">
        <f>IF(G665="","Unknown",G665)</f>
        <v>Social</v>
      </c>
      <c r="I665" s="6" t="s">
        <v>25</v>
      </c>
      <c r="J665" s="6">
        <v>1</v>
      </c>
      <c r="K665" s="6">
        <v>1</v>
      </c>
      <c r="L665" s="6">
        <v>1</v>
      </c>
      <c r="M665" s="6">
        <v>0</v>
      </c>
      <c r="N665" s="6">
        <v>0</v>
      </c>
      <c r="O665" s="6">
        <v>0</v>
      </c>
      <c r="P665" s="6">
        <f>IF(O665&gt;0,1,0)</f>
        <v>0</v>
      </c>
      <c r="Q665" s="6">
        <v>0</v>
      </c>
      <c r="S665" s="6">
        <v>60.8</v>
      </c>
      <c r="T665" s="6">
        <f>IF(S665="",MEDIAN($S$2:$S$1409),S665)</f>
        <v>60.8</v>
      </c>
    </row>
    <row r="666" spans="1:20" ht="15" customHeight="1">
      <c r="A666" s="6" t="s">
        <v>700</v>
      </c>
      <c r="B666" s="7">
        <v>45794</v>
      </c>
      <c r="C666" s="6" t="s">
        <v>21</v>
      </c>
      <c r="D666" s="6" t="s">
        <v>22</v>
      </c>
      <c r="E666" s="6" t="s">
        <v>23</v>
      </c>
      <c r="F666" s="6" t="str">
        <f>IF(E666="","Unknown",E666)</f>
        <v>Desktop</v>
      </c>
      <c r="G666" s="6" t="s">
        <v>33</v>
      </c>
      <c r="H666" s="6" t="str">
        <f>IF(G666="","Unknown",G666)</f>
        <v>Paid Search</v>
      </c>
      <c r="I666" s="6" t="s">
        <v>25</v>
      </c>
      <c r="J666" s="6">
        <v>1</v>
      </c>
      <c r="K666" s="6">
        <v>0</v>
      </c>
      <c r="L666" s="6">
        <v>0</v>
      </c>
      <c r="M666" s="6">
        <v>0</v>
      </c>
      <c r="N666" s="6">
        <v>0</v>
      </c>
      <c r="O666" s="6">
        <v>3</v>
      </c>
      <c r="P666" s="6">
        <f>IF(O666&gt;0,1,0)</f>
        <v>1</v>
      </c>
      <c r="Q666" s="6">
        <v>0</v>
      </c>
      <c r="S666" s="6">
        <v>33.700000000000003</v>
      </c>
      <c r="T666" s="6">
        <f>IF(S666="",MEDIAN($S$2:$S$1409),S666)</f>
        <v>33.700000000000003</v>
      </c>
    </row>
    <row r="667" spans="1:20" ht="15" customHeight="1">
      <c r="A667" s="6" t="s">
        <v>701</v>
      </c>
      <c r="B667" s="7">
        <v>45709</v>
      </c>
      <c r="C667" s="6" t="s">
        <v>21</v>
      </c>
      <c r="D667" s="6" t="s">
        <v>22</v>
      </c>
      <c r="E667" s="6" t="s">
        <v>28</v>
      </c>
      <c r="F667" s="6" t="str">
        <f>IF(E667="","Unknown",E667)</f>
        <v>Mobile</v>
      </c>
      <c r="G667" s="6" t="s">
        <v>33</v>
      </c>
      <c r="H667" s="6" t="str">
        <f>IF(G667="","Unknown",G667)</f>
        <v>Paid Search</v>
      </c>
      <c r="I667" s="6" t="s">
        <v>25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f>IF(O667&gt;0,1,0)</f>
        <v>0</v>
      </c>
      <c r="Q667" s="6">
        <v>0</v>
      </c>
      <c r="S667" s="6">
        <v>45.2</v>
      </c>
      <c r="T667" s="6">
        <f>IF(S667="",MEDIAN($S$2:$S$1409),S667)</f>
        <v>45.2</v>
      </c>
    </row>
    <row r="668" spans="1:20" ht="15" customHeight="1">
      <c r="A668" s="6" t="s">
        <v>702</v>
      </c>
      <c r="B668" s="7">
        <v>45713</v>
      </c>
      <c r="C668" s="6" t="s">
        <v>21</v>
      </c>
      <c r="D668" s="6" t="s">
        <v>32</v>
      </c>
      <c r="E668" s="6" t="s">
        <v>23</v>
      </c>
      <c r="F668" s="6" t="str">
        <f>IF(E668="","Unknown",E668)</f>
        <v>Desktop</v>
      </c>
      <c r="G668" s="6" t="s">
        <v>33</v>
      </c>
      <c r="H668" s="6" t="str">
        <f>IF(G668="","Unknown",G668)</f>
        <v>Paid Search</v>
      </c>
      <c r="I668" s="6" t="s">
        <v>34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f>IF(O668&gt;0,1,0)</f>
        <v>0</v>
      </c>
      <c r="Q668" s="6">
        <v>0</v>
      </c>
      <c r="S668" s="6">
        <v>48.2</v>
      </c>
      <c r="T668" s="6">
        <f>IF(S668="",MEDIAN($S$2:$S$1409),S668)</f>
        <v>48.2</v>
      </c>
    </row>
    <row r="669" spans="1:20" ht="15" customHeight="1">
      <c r="A669" s="6" t="s">
        <v>703</v>
      </c>
      <c r="B669" s="7">
        <v>45687</v>
      </c>
      <c r="C669" s="6" t="s">
        <v>21</v>
      </c>
      <c r="D669" s="6" t="s">
        <v>36</v>
      </c>
      <c r="E669" s="6" t="s">
        <v>28</v>
      </c>
      <c r="F669" s="6" t="str">
        <f>IF(E669="","Unknown",E669)</f>
        <v>Mobile</v>
      </c>
      <c r="G669" s="6" t="s">
        <v>45</v>
      </c>
      <c r="H669" s="6" t="str">
        <f>IF(G669="","Unknown",G669)</f>
        <v>Social</v>
      </c>
      <c r="I669" s="6" t="s">
        <v>30</v>
      </c>
      <c r="J669" s="6">
        <v>1</v>
      </c>
      <c r="K669" s="6">
        <v>1</v>
      </c>
      <c r="L669" s="6">
        <v>0</v>
      </c>
      <c r="M669" s="6">
        <v>0</v>
      </c>
      <c r="N669" s="6">
        <v>0</v>
      </c>
      <c r="O669" s="6">
        <v>1</v>
      </c>
      <c r="P669" s="6">
        <f>IF(O669&gt;0,1,0)</f>
        <v>1</v>
      </c>
      <c r="Q669" s="6">
        <v>0</v>
      </c>
      <c r="S669" s="6">
        <v>44.8</v>
      </c>
      <c r="T669" s="6">
        <f>IF(S669="",MEDIAN($S$2:$S$1409),S669)</f>
        <v>44.8</v>
      </c>
    </row>
    <row r="670" spans="1:20" ht="15" customHeight="1">
      <c r="A670" s="6" t="s">
        <v>704</v>
      </c>
      <c r="B670" s="7">
        <v>45705</v>
      </c>
      <c r="C670" s="6" t="s">
        <v>21</v>
      </c>
      <c r="D670" s="6" t="s">
        <v>22</v>
      </c>
      <c r="E670" s="6" t="s">
        <v>38</v>
      </c>
      <c r="F670" s="6" t="str">
        <f>IF(E670="","Unknown",E670)</f>
        <v>Tablet</v>
      </c>
      <c r="G670" s="6" t="s">
        <v>45</v>
      </c>
      <c r="H670" s="6" t="str">
        <f>IF(G670="","Unknown",G670)</f>
        <v>Social</v>
      </c>
      <c r="I670" s="6" t="s">
        <v>25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f>IF(O670&gt;0,1,0)</f>
        <v>0</v>
      </c>
      <c r="Q670" s="6">
        <v>0</v>
      </c>
      <c r="S670" s="6">
        <v>52.1</v>
      </c>
      <c r="T670" s="6">
        <f>IF(S670="",MEDIAN($S$2:$S$1409),S670)</f>
        <v>52.1</v>
      </c>
    </row>
    <row r="671" spans="1:20" ht="15" customHeight="1">
      <c r="A671" s="6" t="s">
        <v>705</v>
      </c>
      <c r="B671" s="7">
        <v>45794</v>
      </c>
      <c r="C671" s="6" t="s">
        <v>21</v>
      </c>
      <c r="D671" s="6" t="s">
        <v>22</v>
      </c>
      <c r="E671" s="6" t="s">
        <v>23</v>
      </c>
      <c r="F671" s="6" t="str">
        <f>IF(E671="","Unknown",E671)</f>
        <v>Desktop</v>
      </c>
      <c r="G671" s="6" t="s">
        <v>33</v>
      </c>
      <c r="H671" s="6" t="str">
        <f>IF(G671="","Unknown",G671)</f>
        <v>Paid Search</v>
      </c>
      <c r="I671" s="6" t="s">
        <v>25</v>
      </c>
      <c r="J671" s="6">
        <v>1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f>IF(O671&gt;0,1,0)</f>
        <v>0</v>
      </c>
      <c r="Q671" s="6">
        <v>0</v>
      </c>
      <c r="S671" s="6">
        <v>30.7</v>
      </c>
      <c r="T671" s="6">
        <f>IF(S671="",MEDIAN($S$2:$S$1409),S671)</f>
        <v>30.7</v>
      </c>
    </row>
    <row r="672" spans="1:20" ht="15" customHeight="1">
      <c r="A672" s="6" t="s">
        <v>706</v>
      </c>
      <c r="B672" s="7">
        <v>45777</v>
      </c>
      <c r="C672" s="6" t="s">
        <v>21</v>
      </c>
      <c r="D672" s="6" t="s">
        <v>32</v>
      </c>
      <c r="E672" s="6" t="s">
        <v>23</v>
      </c>
      <c r="F672" s="6" t="str">
        <f>IF(E672="","Unknown",E672)</f>
        <v>Desktop</v>
      </c>
      <c r="G672" s="6" t="s">
        <v>33</v>
      </c>
      <c r="H672" s="6" t="str">
        <f>IF(G672="","Unknown",G672)</f>
        <v>Paid Search</v>
      </c>
      <c r="I672" s="6" t="s">
        <v>30</v>
      </c>
      <c r="J672" s="6">
        <v>1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f>IF(O672&gt;0,1,0)</f>
        <v>0</v>
      </c>
      <c r="Q672" s="6">
        <v>0</v>
      </c>
      <c r="S672" s="6">
        <v>58.4</v>
      </c>
      <c r="T672" s="6">
        <f>IF(S672="",MEDIAN($S$2:$S$1409),S672)</f>
        <v>58.4</v>
      </c>
    </row>
    <row r="673" spans="1:20" ht="15" customHeight="1">
      <c r="A673" s="6" t="s">
        <v>707</v>
      </c>
      <c r="B673" s="7">
        <v>45738</v>
      </c>
      <c r="C673" s="6" t="s">
        <v>21</v>
      </c>
      <c r="D673" s="6" t="s">
        <v>27</v>
      </c>
      <c r="E673" s="6" t="s">
        <v>28</v>
      </c>
      <c r="F673" s="6" t="str">
        <f>IF(E673="","Unknown",E673)</f>
        <v>Mobile</v>
      </c>
      <c r="G673" s="6" t="s">
        <v>43</v>
      </c>
      <c r="H673" s="6" t="str">
        <f>IF(G673="","Unknown",G673)</f>
        <v>Referral</v>
      </c>
      <c r="I673" s="6" t="s">
        <v>30</v>
      </c>
      <c r="J673" s="6">
        <v>1</v>
      </c>
      <c r="K673" s="6">
        <v>1</v>
      </c>
      <c r="L673" s="6">
        <v>0</v>
      </c>
      <c r="M673" s="6">
        <v>0</v>
      </c>
      <c r="N673" s="6">
        <v>0</v>
      </c>
      <c r="O673" s="6">
        <v>0</v>
      </c>
      <c r="P673" s="6">
        <f>IF(O673&gt;0,1,0)</f>
        <v>0</v>
      </c>
      <c r="Q673" s="6">
        <v>0</v>
      </c>
      <c r="S673" s="6">
        <v>52.6</v>
      </c>
      <c r="T673" s="6">
        <f>IF(S673="",MEDIAN($S$2:$S$1409),S673)</f>
        <v>52.6</v>
      </c>
    </row>
    <row r="674" spans="1:20" ht="15" customHeight="1">
      <c r="A674" s="6" t="s">
        <v>708</v>
      </c>
      <c r="B674" s="7">
        <v>45667</v>
      </c>
      <c r="C674" s="6" t="s">
        <v>21</v>
      </c>
      <c r="D674" s="6" t="s">
        <v>27</v>
      </c>
      <c r="E674" s="6"/>
      <c r="F674" s="6" t="str">
        <f>IF(E674="","Unknown",E674)</f>
        <v>Unknown</v>
      </c>
      <c r="G674" s="6" t="s">
        <v>33</v>
      </c>
      <c r="H674" s="6" t="str">
        <f>IF(G674="","Unknown",G674)</f>
        <v>Paid Search</v>
      </c>
      <c r="I674" s="6" t="s">
        <v>30</v>
      </c>
      <c r="J674" s="6">
        <v>1</v>
      </c>
      <c r="K674" s="6">
        <v>0</v>
      </c>
      <c r="L674" s="6">
        <v>0</v>
      </c>
      <c r="M674" s="6">
        <v>0</v>
      </c>
      <c r="N674" s="6">
        <v>0</v>
      </c>
      <c r="O674" s="6">
        <v>1</v>
      </c>
      <c r="P674" s="6">
        <f>IF(O674&gt;0,1,0)</f>
        <v>1</v>
      </c>
      <c r="Q674" s="6">
        <v>0</v>
      </c>
      <c r="S674" s="6">
        <v>19.100000000000001</v>
      </c>
      <c r="T674" s="6">
        <f>IF(S674="",MEDIAN($S$2:$S$1409),S674)</f>
        <v>19.100000000000001</v>
      </c>
    </row>
    <row r="675" spans="1:20" ht="15" customHeight="1">
      <c r="A675" s="6" t="s">
        <v>709</v>
      </c>
      <c r="B675" s="7">
        <v>45737</v>
      </c>
      <c r="C675" s="6" t="s">
        <v>21</v>
      </c>
      <c r="D675" s="6" t="s">
        <v>36</v>
      </c>
      <c r="E675" s="6"/>
      <c r="F675" s="6" t="str">
        <f>IF(E675="","Unknown",E675)</f>
        <v>Unknown</v>
      </c>
      <c r="G675" s="6" t="s">
        <v>33</v>
      </c>
      <c r="H675" s="6" t="str">
        <f>IF(G675="","Unknown",G675)</f>
        <v>Paid Search</v>
      </c>
      <c r="I675" s="6" t="s">
        <v>30</v>
      </c>
      <c r="J675" s="6">
        <v>1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f>IF(O675&gt;0,1,0)</f>
        <v>0</v>
      </c>
      <c r="Q675" s="6">
        <v>0</v>
      </c>
      <c r="S675" s="6">
        <v>36.799999999999997</v>
      </c>
      <c r="T675" s="6">
        <f>IF(S675="",MEDIAN($S$2:$S$1409),S675)</f>
        <v>36.799999999999997</v>
      </c>
    </row>
    <row r="676" spans="1:20" ht="15" customHeight="1">
      <c r="A676" s="6" t="s">
        <v>710</v>
      </c>
      <c r="B676" s="7">
        <v>45789</v>
      </c>
      <c r="C676" s="6" t="s">
        <v>21</v>
      </c>
      <c r="D676" s="6" t="s">
        <v>22</v>
      </c>
      <c r="E676" s="6" t="s">
        <v>23</v>
      </c>
      <c r="F676" s="6" t="str">
        <f>IF(E676="","Unknown",E676)</f>
        <v>Desktop</v>
      </c>
      <c r="G676" s="6" t="s">
        <v>33</v>
      </c>
      <c r="H676" s="6" t="str">
        <f>IF(G676="","Unknown",G676)</f>
        <v>Paid Search</v>
      </c>
      <c r="I676" s="6" t="s">
        <v>25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f>IF(O676&gt;0,1,0)</f>
        <v>0</v>
      </c>
      <c r="Q676" s="6">
        <v>0</v>
      </c>
      <c r="S676" s="6">
        <v>68.5</v>
      </c>
      <c r="T676" s="6">
        <f>IF(S676="",MEDIAN($S$2:$S$1409),S676)</f>
        <v>68.5</v>
      </c>
    </row>
    <row r="677" spans="1:20" ht="15" customHeight="1">
      <c r="A677" s="6" t="s">
        <v>711</v>
      </c>
      <c r="B677" s="7">
        <v>45801</v>
      </c>
      <c r="C677" s="6" t="s">
        <v>21</v>
      </c>
      <c r="D677" s="6" t="s">
        <v>27</v>
      </c>
      <c r="E677" s="6" t="s">
        <v>28</v>
      </c>
      <c r="F677" s="6" t="str">
        <f>IF(E677="","Unknown",E677)</f>
        <v>Mobile</v>
      </c>
      <c r="G677" s="6" t="s">
        <v>33</v>
      </c>
      <c r="H677" s="6" t="str">
        <f>IF(G677="","Unknown",G677)</f>
        <v>Paid Search</v>
      </c>
      <c r="I677" s="6" t="s">
        <v>30</v>
      </c>
      <c r="J677" s="6">
        <v>1</v>
      </c>
      <c r="K677" s="6">
        <v>1</v>
      </c>
      <c r="L677" s="6">
        <v>1</v>
      </c>
      <c r="M677" s="6">
        <v>0</v>
      </c>
      <c r="N677" s="6">
        <v>0</v>
      </c>
      <c r="O677" s="6">
        <v>0</v>
      </c>
      <c r="P677" s="6">
        <f>IF(O677&gt;0,1,0)</f>
        <v>0</v>
      </c>
      <c r="Q677" s="6">
        <v>0</v>
      </c>
      <c r="S677" s="6">
        <v>40.1</v>
      </c>
      <c r="T677" s="6">
        <f>IF(S677="",MEDIAN($S$2:$S$1409),S677)</f>
        <v>40.1</v>
      </c>
    </row>
    <row r="678" spans="1:20" ht="15" customHeight="1">
      <c r="A678" s="6" t="s">
        <v>712</v>
      </c>
      <c r="B678" s="7">
        <v>45780</v>
      </c>
      <c r="C678" s="6" t="s">
        <v>21</v>
      </c>
      <c r="D678" s="6" t="s">
        <v>27</v>
      </c>
      <c r="E678" s="6" t="s">
        <v>38</v>
      </c>
      <c r="F678" s="6" t="str">
        <f>IF(E678="","Unknown",E678)</f>
        <v>Tablet</v>
      </c>
      <c r="G678" s="6" t="s">
        <v>29</v>
      </c>
      <c r="H678" s="6" t="str">
        <f>IF(G678="","Unknown",G678)</f>
        <v>Organic</v>
      </c>
      <c r="I678" s="6" t="s">
        <v>30</v>
      </c>
      <c r="J678" s="6">
        <v>1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f>IF(O678&gt;0,1,0)</f>
        <v>0</v>
      </c>
      <c r="Q678" s="6">
        <v>0</v>
      </c>
      <c r="S678" s="6">
        <v>47.5</v>
      </c>
      <c r="T678" s="6">
        <f>IF(S678="",MEDIAN($S$2:$S$1409),S678)</f>
        <v>47.5</v>
      </c>
    </row>
    <row r="679" spans="1:20" ht="15" customHeight="1">
      <c r="A679" s="6" t="s">
        <v>713</v>
      </c>
      <c r="B679" s="7">
        <v>45671</v>
      </c>
      <c r="C679" s="6" t="s">
        <v>21</v>
      </c>
      <c r="D679" s="6" t="s">
        <v>36</v>
      </c>
      <c r="E679" s="6" t="s">
        <v>28</v>
      </c>
      <c r="F679" s="6" t="str">
        <f>IF(E679="","Unknown",E679)</f>
        <v>Mobile</v>
      </c>
      <c r="G679" s="6" t="s">
        <v>29</v>
      </c>
      <c r="H679" s="6" t="str">
        <f>IF(G679="","Unknown",G679)</f>
        <v>Organic</v>
      </c>
      <c r="I679" s="6" t="s">
        <v>25</v>
      </c>
      <c r="J679" s="6">
        <v>1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>
        <f>IF(O679&gt;0,1,0)</f>
        <v>0</v>
      </c>
      <c r="Q679" s="6">
        <v>0</v>
      </c>
      <c r="S679" s="6">
        <v>77.099999999999994</v>
      </c>
      <c r="T679" s="6">
        <f>IF(S679="",MEDIAN($S$2:$S$1409),S679)</f>
        <v>77.099999999999994</v>
      </c>
    </row>
    <row r="680" spans="1:20" ht="15" customHeight="1">
      <c r="A680" s="6" t="s">
        <v>714</v>
      </c>
      <c r="B680" s="7">
        <v>45743</v>
      </c>
      <c r="C680" s="6" t="s">
        <v>21</v>
      </c>
      <c r="D680" s="6" t="s">
        <v>27</v>
      </c>
      <c r="E680" s="6" t="s">
        <v>28</v>
      </c>
      <c r="F680" s="6" t="str">
        <f>IF(E680="","Unknown",E680)</f>
        <v>Mobile</v>
      </c>
      <c r="G680" s="6" t="s">
        <v>45</v>
      </c>
      <c r="H680" s="6" t="str">
        <f>IF(G680="","Unknown",G680)</f>
        <v>Social</v>
      </c>
      <c r="I680" s="6" t="s">
        <v>25</v>
      </c>
      <c r="J680" s="6">
        <v>1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f>IF(O680&gt;0,1,0)</f>
        <v>0</v>
      </c>
      <c r="Q680" s="6">
        <v>0</v>
      </c>
      <c r="S680" s="6">
        <v>75.900000000000006</v>
      </c>
      <c r="T680" s="6">
        <f>IF(S680="",MEDIAN($S$2:$S$1409),S680)</f>
        <v>75.900000000000006</v>
      </c>
    </row>
    <row r="681" spans="1:20" ht="15" customHeight="1">
      <c r="A681" s="6" t="s">
        <v>715</v>
      </c>
      <c r="B681" s="7">
        <v>45716</v>
      </c>
      <c r="C681" s="6" t="s">
        <v>21</v>
      </c>
      <c r="D681" s="6" t="s">
        <v>22</v>
      </c>
      <c r="E681" s="6" t="s">
        <v>23</v>
      </c>
      <c r="F681" s="6" t="str">
        <f>IF(E681="","Unknown",E681)</f>
        <v>Desktop</v>
      </c>
      <c r="G681" s="6" t="s">
        <v>43</v>
      </c>
      <c r="H681" s="6" t="str">
        <f>IF(G681="","Unknown",G681)</f>
        <v>Referral</v>
      </c>
      <c r="I681" s="6" t="s">
        <v>34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1</v>
      </c>
      <c r="P681" s="6">
        <f>IF(O681&gt;0,1,0)</f>
        <v>1</v>
      </c>
      <c r="Q681" s="6">
        <v>0</v>
      </c>
      <c r="S681" s="6">
        <v>52</v>
      </c>
      <c r="T681" s="6">
        <f>IF(S681="",MEDIAN($S$2:$S$1409),S681)</f>
        <v>52</v>
      </c>
    </row>
    <row r="682" spans="1:20" ht="15" customHeight="1">
      <c r="A682" s="6" t="s">
        <v>716</v>
      </c>
      <c r="B682" s="7">
        <v>45789</v>
      </c>
      <c r="C682" s="6" t="s">
        <v>21</v>
      </c>
      <c r="D682" s="6" t="s">
        <v>27</v>
      </c>
      <c r="E682" s="6" t="s">
        <v>23</v>
      </c>
      <c r="F682" s="6" t="str">
        <f>IF(E682="","Unknown",E682)</f>
        <v>Desktop</v>
      </c>
      <c r="G682" s="6" t="s">
        <v>43</v>
      </c>
      <c r="H682" s="6" t="str">
        <f>IF(G682="","Unknown",G682)</f>
        <v>Referral</v>
      </c>
      <c r="I682" s="6" t="s">
        <v>34</v>
      </c>
      <c r="J682" s="6">
        <v>1</v>
      </c>
      <c r="K682" s="6">
        <v>1</v>
      </c>
      <c r="L682" s="6">
        <v>1</v>
      </c>
      <c r="M682" s="6">
        <v>0</v>
      </c>
      <c r="N682" s="6">
        <v>0</v>
      </c>
      <c r="O682" s="6">
        <v>0</v>
      </c>
      <c r="P682" s="6">
        <f>IF(O682&gt;0,1,0)</f>
        <v>0</v>
      </c>
      <c r="Q682" s="6">
        <v>0</v>
      </c>
      <c r="S682" s="6">
        <v>64.900000000000006</v>
      </c>
      <c r="T682" s="6">
        <f>IF(S682="",MEDIAN($S$2:$S$1409),S682)</f>
        <v>64.900000000000006</v>
      </c>
    </row>
    <row r="683" spans="1:20" ht="15" customHeight="1">
      <c r="A683" s="6" t="s">
        <v>717</v>
      </c>
      <c r="B683" s="7">
        <v>45730</v>
      </c>
      <c r="C683" s="6" t="s">
        <v>21</v>
      </c>
      <c r="D683" s="6" t="s">
        <v>22</v>
      </c>
      <c r="E683" s="6" t="s">
        <v>28</v>
      </c>
      <c r="F683" s="6" t="str">
        <f>IF(E683="","Unknown",E683)</f>
        <v>Mobile</v>
      </c>
      <c r="G683" s="6" t="s">
        <v>29</v>
      </c>
      <c r="H683" s="6" t="str">
        <f>IF(G683="","Unknown",G683)</f>
        <v>Organic</v>
      </c>
      <c r="I683" s="6" t="s">
        <v>30</v>
      </c>
      <c r="J683" s="6">
        <v>1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f>IF(O683&gt;0,1,0)</f>
        <v>0</v>
      </c>
      <c r="Q683" s="6">
        <v>0</v>
      </c>
      <c r="S683" s="6">
        <v>48.2</v>
      </c>
      <c r="T683" s="6">
        <f>IF(S683="",MEDIAN($S$2:$S$1409),S683)</f>
        <v>48.2</v>
      </c>
    </row>
    <row r="684" spans="1:20" ht="15" customHeight="1">
      <c r="A684" s="6" t="s">
        <v>718</v>
      </c>
      <c r="B684" s="7">
        <v>45797</v>
      </c>
      <c r="C684" s="6" t="s">
        <v>21</v>
      </c>
      <c r="D684" s="6" t="s">
        <v>32</v>
      </c>
      <c r="E684" s="6" t="s">
        <v>28</v>
      </c>
      <c r="F684" s="6" t="str">
        <f>IF(E684="","Unknown",E684)</f>
        <v>Mobile</v>
      </c>
      <c r="G684" s="6" t="s">
        <v>29</v>
      </c>
      <c r="H684" s="6" t="str">
        <f>IF(G684="","Unknown",G684)</f>
        <v>Organic</v>
      </c>
      <c r="I684" s="6" t="s">
        <v>25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f>IF(O684&gt;0,1,0)</f>
        <v>0</v>
      </c>
      <c r="Q684" s="6">
        <v>0</v>
      </c>
      <c r="S684" s="6">
        <v>42.1</v>
      </c>
      <c r="T684" s="6">
        <f>IF(S684="",MEDIAN($S$2:$S$1409),S684)</f>
        <v>42.1</v>
      </c>
    </row>
    <row r="685" spans="1:20" ht="15" customHeight="1">
      <c r="A685" s="6" t="s">
        <v>719</v>
      </c>
      <c r="B685" s="7">
        <v>45712</v>
      </c>
      <c r="C685" s="6" t="s">
        <v>21</v>
      </c>
      <c r="D685" s="6" t="s">
        <v>36</v>
      </c>
      <c r="E685" s="6" t="s">
        <v>23</v>
      </c>
      <c r="F685" s="6" t="str">
        <f>IF(E685="","Unknown",E685)</f>
        <v>Desktop</v>
      </c>
      <c r="G685" s="6" t="s">
        <v>43</v>
      </c>
      <c r="H685" s="6" t="str">
        <f>IF(G685="","Unknown",G685)</f>
        <v>Referral</v>
      </c>
      <c r="I685" s="6" t="s">
        <v>30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f>IF(O685&gt;0,1,0)</f>
        <v>0</v>
      </c>
      <c r="Q685" s="6">
        <v>0</v>
      </c>
      <c r="S685" s="6">
        <v>27.6</v>
      </c>
      <c r="T685" s="6">
        <f>IF(S685="",MEDIAN($S$2:$S$1409),S685)</f>
        <v>27.6</v>
      </c>
    </row>
    <row r="686" spans="1:20" ht="15" customHeight="1">
      <c r="A686" s="6" t="s">
        <v>720</v>
      </c>
      <c r="B686" s="7">
        <v>45701</v>
      </c>
      <c r="C686" s="6" t="s">
        <v>21</v>
      </c>
      <c r="D686" s="6" t="s">
        <v>27</v>
      </c>
      <c r="E686" s="6" t="s">
        <v>28</v>
      </c>
      <c r="F686" s="6" t="str">
        <f>IF(E686="","Unknown",E686)</f>
        <v>Mobile</v>
      </c>
      <c r="G686" s="6" t="s">
        <v>29</v>
      </c>
      <c r="H686" s="6" t="str">
        <f>IF(G686="","Unknown",G686)</f>
        <v>Organic</v>
      </c>
      <c r="I686" s="6" t="s">
        <v>34</v>
      </c>
      <c r="J686" s="6">
        <v>1</v>
      </c>
      <c r="K686" s="6">
        <v>0</v>
      </c>
      <c r="L686" s="6">
        <v>0</v>
      </c>
      <c r="M686" s="6">
        <v>0</v>
      </c>
      <c r="N686" s="6">
        <v>0</v>
      </c>
      <c r="O686" s="6">
        <v>1</v>
      </c>
      <c r="P686" s="6">
        <f>IF(O686&gt;0,1,0)</f>
        <v>1</v>
      </c>
      <c r="Q686" s="6">
        <v>0</v>
      </c>
      <c r="S686" s="6">
        <v>68.5</v>
      </c>
      <c r="T686" s="6">
        <f>IF(S686="",MEDIAN($S$2:$S$1409),S686)</f>
        <v>68.5</v>
      </c>
    </row>
    <row r="687" spans="1:20" ht="15" customHeight="1">
      <c r="A687" s="6" t="s">
        <v>721</v>
      </c>
      <c r="B687" s="7">
        <v>45694</v>
      </c>
      <c r="C687" s="6" t="s">
        <v>21</v>
      </c>
      <c r="D687" s="6" t="s">
        <v>36</v>
      </c>
      <c r="E687" s="6" t="s">
        <v>23</v>
      </c>
      <c r="F687" s="6" t="str">
        <f>IF(E687="","Unknown",E687)</f>
        <v>Desktop</v>
      </c>
      <c r="G687" s="6" t="s">
        <v>29</v>
      </c>
      <c r="H687" s="6" t="str">
        <f>IF(G687="","Unknown",G687)</f>
        <v>Organic</v>
      </c>
      <c r="I687" s="6" t="s">
        <v>30</v>
      </c>
      <c r="J687" s="6">
        <v>1</v>
      </c>
      <c r="K687" s="6">
        <v>1</v>
      </c>
      <c r="L687" s="6">
        <v>1</v>
      </c>
      <c r="M687" s="6">
        <v>0</v>
      </c>
      <c r="N687" s="6">
        <v>0</v>
      </c>
      <c r="O687" s="6">
        <v>0</v>
      </c>
      <c r="P687" s="6">
        <f>IF(O687&gt;0,1,0)</f>
        <v>0</v>
      </c>
      <c r="Q687" s="6">
        <v>0</v>
      </c>
      <c r="S687" s="6">
        <v>59.2</v>
      </c>
      <c r="T687" s="6">
        <f>IF(S687="",MEDIAN($S$2:$S$1409),S687)</f>
        <v>59.2</v>
      </c>
    </row>
    <row r="688" spans="1:20" ht="15" customHeight="1">
      <c r="A688" s="6" t="s">
        <v>722</v>
      </c>
      <c r="B688" s="7">
        <v>45718</v>
      </c>
      <c r="C688" s="6" t="s">
        <v>21</v>
      </c>
      <c r="D688" s="6" t="s">
        <v>22</v>
      </c>
      <c r="E688" s="6" t="s">
        <v>28</v>
      </c>
      <c r="F688" s="6" t="str">
        <f>IF(E688="","Unknown",E688)</f>
        <v>Mobile</v>
      </c>
      <c r="G688" s="6" t="s">
        <v>45</v>
      </c>
      <c r="H688" s="6" t="str">
        <f>IF(G688="","Unknown",G688)</f>
        <v>Social</v>
      </c>
      <c r="I688" s="6" t="s">
        <v>25</v>
      </c>
      <c r="J688" s="6">
        <v>1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f>IF(O688&gt;0,1,0)</f>
        <v>0</v>
      </c>
      <c r="Q688" s="6">
        <v>0</v>
      </c>
      <c r="S688" s="6">
        <v>63.3</v>
      </c>
      <c r="T688" s="6">
        <f>IF(S688="",MEDIAN($S$2:$S$1409),S688)</f>
        <v>63.3</v>
      </c>
    </row>
    <row r="689" spans="1:20" ht="15" customHeight="1">
      <c r="A689" s="6" t="s">
        <v>723</v>
      </c>
      <c r="B689" s="7">
        <v>45775</v>
      </c>
      <c r="C689" s="6" t="s">
        <v>21</v>
      </c>
      <c r="D689" s="6" t="s">
        <v>32</v>
      </c>
      <c r="E689" s="6" t="s">
        <v>23</v>
      </c>
      <c r="F689" s="6" t="str">
        <f>IF(E689="","Unknown",E689)</f>
        <v>Desktop</v>
      </c>
      <c r="G689" s="6" t="s">
        <v>33</v>
      </c>
      <c r="H689" s="6" t="str">
        <f>IF(G689="","Unknown",G689)</f>
        <v>Paid Search</v>
      </c>
      <c r="I689" s="6" t="s">
        <v>30</v>
      </c>
      <c r="J689" s="6">
        <v>0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f>IF(O689&gt;0,1,0)</f>
        <v>0</v>
      </c>
      <c r="Q689" s="6">
        <v>0</v>
      </c>
      <c r="S689" s="6">
        <v>55</v>
      </c>
      <c r="T689" s="6">
        <f>IF(S689="",MEDIAN($S$2:$S$1409),S689)</f>
        <v>55</v>
      </c>
    </row>
    <row r="690" spans="1:20" ht="15" customHeight="1">
      <c r="A690" s="6" t="s">
        <v>724</v>
      </c>
      <c r="B690" s="7">
        <v>45804</v>
      </c>
      <c r="C690" s="6" t="s">
        <v>21</v>
      </c>
      <c r="D690" s="6" t="s">
        <v>22</v>
      </c>
      <c r="E690" s="6" t="s">
        <v>23</v>
      </c>
      <c r="F690" s="6" t="str">
        <f>IF(E690="","Unknown",E690)</f>
        <v>Desktop</v>
      </c>
      <c r="G690" s="6"/>
      <c r="H690" s="6" t="str">
        <f>IF(G690="","Unknown",G690)</f>
        <v>Unknown</v>
      </c>
      <c r="I690" s="6" t="s">
        <v>34</v>
      </c>
      <c r="J690" s="6">
        <v>1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f>IF(O690&gt;0,1,0)</f>
        <v>0</v>
      </c>
      <c r="Q690" s="6">
        <v>0</v>
      </c>
      <c r="S690" s="6">
        <v>64.8</v>
      </c>
      <c r="T690" s="6">
        <f>IF(S690="",MEDIAN($S$2:$S$1409),S690)</f>
        <v>64.8</v>
      </c>
    </row>
    <row r="691" spans="1:20" ht="15" customHeight="1">
      <c r="A691" s="6" t="s">
        <v>725</v>
      </c>
      <c r="B691" s="7">
        <v>45754</v>
      </c>
      <c r="C691" s="6" t="s">
        <v>21</v>
      </c>
      <c r="D691" s="6" t="s">
        <v>36</v>
      </c>
      <c r="E691" s="6" t="s">
        <v>23</v>
      </c>
      <c r="F691" s="6" t="str">
        <f>IF(E691="","Unknown",E691)</f>
        <v>Desktop</v>
      </c>
      <c r="G691" s="6" t="s">
        <v>29</v>
      </c>
      <c r="H691" s="6" t="str">
        <f>IF(G691="","Unknown",G691)</f>
        <v>Organic</v>
      </c>
      <c r="I691" s="6" t="s">
        <v>25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6">
        <v>2</v>
      </c>
      <c r="P691" s="6">
        <f>IF(O691&gt;0,1,0)</f>
        <v>1</v>
      </c>
      <c r="Q691" s="6">
        <v>0</v>
      </c>
      <c r="S691" s="6">
        <v>41.8</v>
      </c>
      <c r="T691" s="6">
        <f>IF(S691="",MEDIAN($S$2:$S$1409),S691)</f>
        <v>41.8</v>
      </c>
    </row>
    <row r="692" spans="1:20" ht="15" customHeight="1">
      <c r="A692" s="6" t="s">
        <v>726</v>
      </c>
      <c r="B692" s="7">
        <v>45761</v>
      </c>
      <c r="C692" s="6" t="s">
        <v>727</v>
      </c>
      <c r="D692" s="6" t="s">
        <v>32</v>
      </c>
      <c r="E692" s="6" t="s">
        <v>23</v>
      </c>
      <c r="F692" s="6" t="str">
        <f>IF(E692="","Unknown",E692)</f>
        <v>Desktop</v>
      </c>
      <c r="G692" s="6" t="s">
        <v>45</v>
      </c>
      <c r="H692" s="6" t="str">
        <f>IF(G692="","Unknown",G692)</f>
        <v>Social</v>
      </c>
      <c r="I692" s="6" t="s">
        <v>25</v>
      </c>
      <c r="J692" s="6">
        <v>1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f>IF(O692&gt;0,1,0)</f>
        <v>0</v>
      </c>
      <c r="Q692" s="6">
        <v>0</v>
      </c>
      <c r="S692" s="6">
        <v>73.2</v>
      </c>
      <c r="T692" s="6">
        <f>IF(S692="",MEDIAN($S$2:$S$1409),S692)</f>
        <v>73.2</v>
      </c>
    </row>
    <row r="693" spans="1:20" ht="15" customHeight="1">
      <c r="A693" s="6" t="s">
        <v>728</v>
      </c>
      <c r="B693" s="7">
        <v>45786</v>
      </c>
      <c r="C693" s="6" t="s">
        <v>727</v>
      </c>
      <c r="D693" s="6" t="s">
        <v>32</v>
      </c>
      <c r="E693" s="6" t="s">
        <v>23</v>
      </c>
      <c r="F693" s="6" t="str">
        <f>IF(E693="","Unknown",E693)</f>
        <v>Desktop</v>
      </c>
      <c r="G693" s="6" t="s">
        <v>29</v>
      </c>
      <c r="H693" s="6" t="str">
        <f>IF(G693="","Unknown",G693)</f>
        <v>Organic</v>
      </c>
      <c r="I693" s="6" t="s">
        <v>25</v>
      </c>
      <c r="J693" s="6">
        <v>1</v>
      </c>
      <c r="K693" s="6">
        <v>1</v>
      </c>
      <c r="L693" s="6">
        <v>1</v>
      </c>
      <c r="M693" s="6">
        <v>0</v>
      </c>
      <c r="N693" s="6">
        <v>0</v>
      </c>
      <c r="O693" s="6">
        <v>3</v>
      </c>
      <c r="P693" s="6">
        <f>IF(O693&gt;0,1,0)</f>
        <v>1</v>
      </c>
      <c r="Q693" s="6">
        <v>0</v>
      </c>
      <c r="S693" s="6">
        <v>55.7</v>
      </c>
      <c r="T693" s="6">
        <f>IF(S693="",MEDIAN($S$2:$S$1409),S693)</f>
        <v>55.7</v>
      </c>
    </row>
    <row r="694" spans="1:20" ht="15" customHeight="1">
      <c r="A694" s="6" t="s">
        <v>729</v>
      </c>
      <c r="B694" s="7">
        <v>45737</v>
      </c>
      <c r="C694" s="6" t="s">
        <v>727</v>
      </c>
      <c r="D694" s="6" t="s">
        <v>22</v>
      </c>
      <c r="E694" s="6" t="s">
        <v>28</v>
      </c>
      <c r="F694" s="6" t="str">
        <f>IF(E694="","Unknown",E694)</f>
        <v>Mobile</v>
      </c>
      <c r="G694" s="6" t="s">
        <v>29</v>
      </c>
      <c r="H694" s="6" t="str">
        <f>IF(G694="","Unknown",G694)</f>
        <v>Organic</v>
      </c>
      <c r="I694" s="6" t="s">
        <v>30</v>
      </c>
      <c r="J694" s="6">
        <v>1</v>
      </c>
      <c r="K694" s="6">
        <v>1</v>
      </c>
      <c r="L694" s="6">
        <v>1</v>
      </c>
      <c r="M694" s="6">
        <v>0</v>
      </c>
      <c r="N694" s="6">
        <v>0</v>
      </c>
      <c r="O694" s="6">
        <v>0</v>
      </c>
      <c r="P694" s="6">
        <f>IF(O694&gt;0,1,0)</f>
        <v>0</v>
      </c>
      <c r="Q694" s="6">
        <v>0</v>
      </c>
      <c r="S694" s="6">
        <v>82.8</v>
      </c>
      <c r="T694" s="6">
        <f>IF(S694="",MEDIAN($S$2:$S$1409),S694)</f>
        <v>82.8</v>
      </c>
    </row>
    <row r="695" spans="1:20" ht="15" customHeight="1">
      <c r="A695" s="6" t="s">
        <v>730</v>
      </c>
      <c r="B695" s="7">
        <v>45743</v>
      </c>
      <c r="C695" s="6" t="s">
        <v>727</v>
      </c>
      <c r="D695" s="6" t="s">
        <v>22</v>
      </c>
      <c r="E695" s="6" t="s">
        <v>23</v>
      </c>
      <c r="F695" s="6" t="str">
        <f>IF(E695="","Unknown",E695)</f>
        <v>Desktop</v>
      </c>
      <c r="G695" s="6" t="s">
        <v>45</v>
      </c>
      <c r="H695" s="6" t="str">
        <f>IF(G695="","Unknown",G695)</f>
        <v>Social</v>
      </c>
      <c r="I695" s="6" t="s">
        <v>30</v>
      </c>
      <c r="J695" s="6">
        <v>1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f>IF(O695&gt;0,1,0)</f>
        <v>0</v>
      </c>
      <c r="Q695" s="6">
        <v>0</v>
      </c>
      <c r="S695" s="6"/>
      <c r="T695" s="6">
        <f>IF(S695="",MEDIAN($S$2:$S$1409),S695)</f>
        <v>59.9</v>
      </c>
    </row>
    <row r="696" spans="1:20" ht="15" customHeight="1">
      <c r="A696" s="6" t="s">
        <v>731</v>
      </c>
      <c r="B696" s="7">
        <v>45678</v>
      </c>
      <c r="C696" s="6" t="s">
        <v>727</v>
      </c>
      <c r="D696" s="6" t="s">
        <v>36</v>
      </c>
      <c r="E696" s="6" t="s">
        <v>28</v>
      </c>
      <c r="F696" s="6" t="str">
        <f>IF(E696="","Unknown",E696)</f>
        <v>Mobile</v>
      </c>
      <c r="G696" s="6" t="s">
        <v>33</v>
      </c>
      <c r="H696" s="6" t="str">
        <f>IF(G696="","Unknown",G696)</f>
        <v>Paid Search</v>
      </c>
      <c r="I696" s="6" t="s">
        <v>30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f>IF(O696&gt;0,1,0)</f>
        <v>0</v>
      </c>
      <c r="Q696" s="6">
        <v>0</v>
      </c>
      <c r="S696" s="6">
        <v>34.4</v>
      </c>
      <c r="T696" s="6">
        <f>IF(S696="",MEDIAN($S$2:$S$1409),S696)</f>
        <v>34.4</v>
      </c>
    </row>
    <row r="697" spans="1:20" ht="15" customHeight="1">
      <c r="A697" s="6" t="s">
        <v>732</v>
      </c>
      <c r="B697" s="7">
        <v>45735</v>
      </c>
      <c r="C697" s="6" t="s">
        <v>727</v>
      </c>
      <c r="D697" s="6" t="s">
        <v>32</v>
      </c>
      <c r="E697" s="6" t="s">
        <v>23</v>
      </c>
      <c r="F697" s="6" t="str">
        <f>IF(E697="","Unknown",E697)</f>
        <v>Desktop</v>
      </c>
      <c r="G697" s="6" t="s">
        <v>24</v>
      </c>
      <c r="H697" s="6" t="str">
        <f>IF(G697="","Unknown",G697)</f>
        <v>Email</v>
      </c>
      <c r="I697" s="6" t="s">
        <v>30</v>
      </c>
      <c r="J697" s="6">
        <v>1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  <c r="P697" s="6">
        <f>IF(O697&gt;0,1,0)</f>
        <v>0</v>
      </c>
      <c r="Q697" s="6">
        <v>0</v>
      </c>
      <c r="S697" s="6">
        <v>45.2</v>
      </c>
      <c r="T697" s="6">
        <f>IF(S697="",MEDIAN($S$2:$S$1409),S697)</f>
        <v>45.2</v>
      </c>
    </row>
    <row r="698" spans="1:20" ht="15" customHeight="1">
      <c r="A698" s="6" t="s">
        <v>733</v>
      </c>
      <c r="B698" s="7">
        <v>45804</v>
      </c>
      <c r="C698" s="6" t="s">
        <v>727</v>
      </c>
      <c r="D698" s="6" t="s">
        <v>22</v>
      </c>
      <c r="E698" s="6" t="s">
        <v>28</v>
      </c>
      <c r="F698" s="6" t="str">
        <f>IF(E698="","Unknown",E698)</f>
        <v>Mobile</v>
      </c>
      <c r="G698" s="6" t="s">
        <v>29</v>
      </c>
      <c r="H698" s="6" t="str">
        <f>IF(G698="","Unknown",G698)</f>
        <v>Organic</v>
      </c>
      <c r="I698" s="6" t="s">
        <v>25</v>
      </c>
      <c r="J698" s="6">
        <v>1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f>IF(O698&gt;0,1,0)</f>
        <v>0</v>
      </c>
      <c r="Q698" s="6">
        <v>0</v>
      </c>
      <c r="S698" s="6">
        <v>71.599999999999994</v>
      </c>
      <c r="T698" s="6">
        <f>IF(S698="",MEDIAN($S$2:$S$1409),S698)</f>
        <v>71.599999999999994</v>
      </c>
    </row>
    <row r="699" spans="1:20" ht="15" customHeight="1">
      <c r="A699" s="6" t="s">
        <v>734</v>
      </c>
      <c r="B699" s="7">
        <v>45658</v>
      </c>
      <c r="C699" s="6" t="s">
        <v>727</v>
      </c>
      <c r="D699" s="6" t="s">
        <v>22</v>
      </c>
      <c r="E699" s="6" t="s">
        <v>28</v>
      </c>
      <c r="F699" s="6" t="str">
        <f>IF(E699="","Unknown",E699)</f>
        <v>Mobile</v>
      </c>
      <c r="G699" s="6" t="s">
        <v>45</v>
      </c>
      <c r="H699" s="6" t="str">
        <f>IF(G699="","Unknown",G699)</f>
        <v>Social</v>
      </c>
      <c r="I699" s="6" t="s">
        <v>30</v>
      </c>
      <c r="J699" s="6">
        <v>1</v>
      </c>
      <c r="K699" s="6">
        <v>1</v>
      </c>
      <c r="L699" s="6">
        <v>1</v>
      </c>
      <c r="M699" s="6">
        <v>0</v>
      </c>
      <c r="N699" s="6">
        <v>0</v>
      </c>
      <c r="O699" s="6">
        <v>0</v>
      </c>
      <c r="P699" s="6">
        <f>IF(O699&gt;0,1,0)</f>
        <v>0</v>
      </c>
      <c r="Q699" s="6">
        <v>0</v>
      </c>
      <c r="S699" s="6">
        <v>69.099999999999994</v>
      </c>
      <c r="T699" s="6">
        <f>IF(S699="",MEDIAN($S$2:$S$1409),S699)</f>
        <v>69.099999999999994</v>
      </c>
    </row>
    <row r="700" spans="1:20" ht="15" customHeight="1">
      <c r="A700" s="6" t="s">
        <v>735</v>
      </c>
      <c r="B700" s="7">
        <v>45745</v>
      </c>
      <c r="C700" s="6" t="s">
        <v>727</v>
      </c>
      <c r="D700" s="6" t="s">
        <v>27</v>
      </c>
      <c r="E700" s="6" t="s">
        <v>23</v>
      </c>
      <c r="F700" s="6" t="str">
        <f>IF(E700="","Unknown",E700)</f>
        <v>Desktop</v>
      </c>
      <c r="G700" s="6" t="s">
        <v>33</v>
      </c>
      <c r="H700" s="6" t="str">
        <f>IF(G700="","Unknown",G700)</f>
        <v>Paid Search</v>
      </c>
      <c r="I700" s="6" t="s">
        <v>34</v>
      </c>
      <c r="J700" s="6">
        <v>1</v>
      </c>
      <c r="K700" s="6">
        <v>0</v>
      </c>
      <c r="L700" s="6">
        <v>0</v>
      </c>
      <c r="M700" s="6">
        <v>0</v>
      </c>
      <c r="N700" s="6">
        <v>0</v>
      </c>
      <c r="O700" s="6">
        <v>1</v>
      </c>
      <c r="P700" s="6">
        <f>IF(O700&gt;0,1,0)</f>
        <v>1</v>
      </c>
      <c r="Q700" s="6">
        <v>0</v>
      </c>
      <c r="S700" s="6">
        <v>37.700000000000003</v>
      </c>
      <c r="T700" s="6">
        <f>IF(S700="",MEDIAN($S$2:$S$1409),S700)</f>
        <v>37.700000000000003</v>
      </c>
    </row>
    <row r="701" spans="1:20" ht="15" customHeight="1">
      <c r="A701" s="6" t="s">
        <v>736</v>
      </c>
      <c r="B701" s="7">
        <v>45733</v>
      </c>
      <c r="C701" s="6" t="s">
        <v>727</v>
      </c>
      <c r="D701" s="6" t="s">
        <v>27</v>
      </c>
      <c r="E701" s="6" t="s">
        <v>23</v>
      </c>
      <c r="F701" s="6" t="str">
        <f>IF(E701="","Unknown",E701)</f>
        <v>Desktop</v>
      </c>
      <c r="G701" s="6" t="s">
        <v>29</v>
      </c>
      <c r="H701" s="6" t="str">
        <f>IF(G701="","Unknown",G701)</f>
        <v>Organic</v>
      </c>
      <c r="I701" s="6" t="s">
        <v>25</v>
      </c>
      <c r="J701" s="6">
        <v>1</v>
      </c>
      <c r="K701" s="6">
        <v>0</v>
      </c>
      <c r="L701" s="6">
        <v>0</v>
      </c>
      <c r="M701" s="6">
        <v>0</v>
      </c>
      <c r="N701" s="6">
        <v>0</v>
      </c>
      <c r="O701" s="6">
        <v>1</v>
      </c>
      <c r="P701" s="6">
        <f>IF(O701&gt;0,1,0)</f>
        <v>1</v>
      </c>
      <c r="Q701" s="6">
        <v>0</v>
      </c>
      <c r="S701" s="6">
        <v>60.8</v>
      </c>
      <c r="T701" s="6">
        <f>IF(S701="",MEDIAN($S$2:$S$1409),S701)</f>
        <v>60.8</v>
      </c>
    </row>
    <row r="702" spans="1:20" ht="15" customHeight="1">
      <c r="A702" s="6" t="s">
        <v>737</v>
      </c>
      <c r="B702" s="7">
        <v>45782</v>
      </c>
      <c r="C702" s="6" t="s">
        <v>727</v>
      </c>
      <c r="D702" s="6" t="s">
        <v>22</v>
      </c>
      <c r="E702" s="6" t="s">
        <v>28</v>
      </c>
      <c r="F702" s="6" t="str">
        <f>IF(E702="","Unknown",E702)</f>
        <v>Mobile</v>
      </c>
      <c r="G702" s="6" t="s">
        <v>29</v>
      </c>
      <c r="H702" s="6" t="str">
        <f>IF(G702="","Unknown",G702)</f>
        <v>Organic</v>
      </c>
      <c r="I702" s="6" t="s">
        <v>30</v>
      </c>
      <c r="J702" s="6">
        <v>1</v>
      </c>
      <c r="K702" s="6">
        <v>1</v>
      </c>
      <c r="L702" s="6">
        <v>1</v>
      </c>
      <c r="M702" s="6">
        <v>1</v>
      </c>
      <c r="N702" s="6">
        <v>444.13</v>
      </c>
      <c r="O702" s="6">
        <v>0</v>
      </c>
      <c r="P702" s="6">
        <f>IF(O702&gt;0,1,0)</f>
        <v>0</v>
      </c>
      <c r="Q702" s="6">
        <v>0</v>
      </c>
      <c r="R702" s="6">
        <v>10</v>
      </c>
      <c r="S702" s="6">
        <v>80.7</v>
      </c>
      <c r="T702" s="6">
        <f>IF(S702="",MEDIAN($S$2:$S$1409),S702)</f>
        <v>80.7</v>
      </c>
    </row>
    <row r="703" spans="1:20" ht="15" customHeight="1">
      <c r="A703" s="6" t="s">
        <v>738</v>
      </c>
      <c r="B703" s="7">
        <v>45781</v>
      </c>
      <c r="C703" s="6" t="s">
        <v>727</v>
      </c>
      <c r="D703" s="6" t="s">
        <v>36</v>
      </c>
      <c r="E703" s="6" t="s">
        <v>28</v>
      </c>
      <c r="F703" s="6" t="str">
        <f>IF(E703="","Unknown",E703)</f>
        <v>Mobile</v>
      </c>
      <c r="G703" s="6" t="s">
        <v>45</v>
      </c>
      <c r="H703" s="6" t="str">
        <f>IF(G703="","Unknown",G703)</f>
        <v>Social</v>
      </c>
      <c r="I703" s="6" t="s">
        <v>30</v>
      </c>
      <c r="J703" s="6">
        <v>1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f>IF(O703&gt;0,1,0)</f>
        <v>0</v>
      </c>
      <c r="Q703" s="6">
        <v>0</v>
      </c>
      <c r="S703" s="6">
        <v>69.2</v>
      </c>
      <c r="T703" s="6">
        <f>IF(S703="",MEDIAN($S$2:$S$1409),S703)</f>
        <v>69.2</v>
      </c>
    </row>
    <row r="704" spans="1:20" ht="15" customHeight="1">
      <c r="A704" s="6" t="s">
        <v>739</v>
      </c>
      <c r="B704" s="7">
        <v>45741</v>
      </c>
      <c r="C704" s="6" t="s">
        <v>727</v>
      </c>
      <c r="D704" s="6" t="s">
        <v>22</v>
      </c>
      <c r="E704" s="6" t="s">
        <v>28</v>
      </c>
      <c r="F704" s="6" t="str">
        <f>IF(E704="","Unknown",E704)</f>
        <v>Mobile</v>
      </c>
      <c r="G704" s="6" t="s">
        <v>45</v>
      </c>
      <c r="H704" s="6" t="str">
        <f>IF(G704="","Unknown",G704)</f>
        <v>Social</v>
      </c>
      <c r="I704" s="6" t="s">
        <v>34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3</v>
      </c>
      <c r="P704" s="6">
        <f>IF(O704&gt;0,1,0)</f>
        <v>1</v>
      </c>
      <c r="Q704" s="6">
        <v>0</v>
      </c>
      <c r="S704" s="6">
        <v>55</v>
      </c>
      <c r="T704" s="6">
        <f>IF(S704="",MEDIAN($S$2:$S$1409),S704)</f>
        <v>55</v>
      </c>
    </row>
    <row r="705" spans="1:20" ht="15" customHeight="1">
      <c r="A705" s="6" t="s">
        <v>740</v>
      </c>
      <c r="B705" s="7">
        <v>45764</v>
      </c>
      <c r="C705" s="6" t="s">
        <v>727</v>
      </c>
      <c r="D705" s="6" t="s">
        <v>27</v>
      </c>
      <c r="E705" s="6" t="s">
        <v>28</v>
      </c>
      <c r="F705" s="6" t="str">
        <f>IF(E705="","Unknown",E705)</f>
        <v>Mobile</v>
      </c>
      <c r="G705" s="6" t="s">
        <v>24</v>
      </c>
      <c r="H705" s="6" t="str">
        <f>IF(G705="","Unknown",G705)</f>
        <v>Email</v>
      </c>
      <c r="I705" s="6" t="s">
        <v>30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1</v>
      </c>
      <c r="P705" s="6">
        <f>IF(O705&gt;0,1,0)</f>
        <v>1</v>
      </c>
      <c r="Q705" s="6">
        <v>0</v>
      </c>
      <c r="S705" s="6">
        <v>73.599999999999994</v>
      </c>
      <c r="T705" s="6">
        <f>IF(S705="",MEDIAN($S$2:$S$1409),S705)</f>
        <v>73.599999999999994</v>
      </c>
    </row>
    <row r="706" spans="1:20" ht="15" customHeight="1">
      <c r="A706" s="6" t="s">
        <v>741</v>
      </c>
      <c r="B706" s="7">
        <v>45800</v>
      </c>
      <c r="C706" s="6" t="s">
        <v>727</v>
      </c>
      <c r="D706" s="6" t="s">
        <v>36</v>
      </c>
      <c r="E706" s="6" t="s">
        <v>28</v>
      </c>
      <c r="F706" s="6" t="str">
        <f>IF(E706="","Unknown",E706)</f>
        <v>Mobile</v>
      </c>
      <c r="G706" s="6" t="s">
        <v>43</v>
      </c>
      <c r="H706" s="6" t="str">
        <f>IF(G706="","Unknown",G706)</f>
        <v>Referral</v>
      </c>
      <c r="I706" s="6" t="s">
        <v>25</v>
      </c>
      <c r="J706" s="6">
        <v>1</v>
      </c>
      <c r="K706" s="6">
        <v>1</v>
      </c>
      <c r="L706" s="6">
        <v>1</v>
      </c>
      <c r="M706" s="6">
        <v>0</v>
      </c>
      <c r="N706" s="6">
        <v>0</v>
      </c>
      <c r="O706" s="6">
        <v>1</v>
      </c>
      <c r="P706" s="6">
        <f>IF(O706&gt;0,1,0)</f>
        <v>1</v>
      </c>
      <c r="Q706" s="6">
        <v>0</v>
      </c>
      <c r="S706" s="6">
        <v>47.3</v>
      </c>
      <c r="T706" s="6">
        <f>IF(S706="",MEDIAN($S$2:$S$1409),S706)</f>
        <v>47.3</v>
      </c>
    </row>
    <row r="707" spans="1:20" ht="15" customHeight="1">
      <c r="A707" s="6" t="s">
        <v>742</v>
      </c>
      <c r="B707" s="7">
        <v>45670</v>
      </c>
      <c r="C707" s="6" t="s">
        <v>727</v>
      </c>
      <c r="D707" s="6" t="s">
        <v>22</v>
      </c>
      <c r="E707" s="6" t="s">
        <v>28</v>
      </c>
      <c r="F707" s="6" t="str">
        <f>IF(E707="","Unknown",E707)</f>
        <v>Mobile</v>
      </c>
      <c r="G707" s="6" t="s">
        <v>29</v>
      </c>
      <c r="H707" s="6" t="str">
        <f>IF(G707="","Unknown",G707)</f>
        <v>Organic</v>
      </c>
      <c r="I707" s="6" t="s">
        <v>25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f>IF(O707&gt;0,1,0)</f>
        <v>0</v>
      </c>
      <c r="Q707" s="6">
        <v>0</v>
      </c>
      <c r="S707" s="6">
        <v>43.6</v>
      </c>
      <c r="T707" s="6">
        <f>IF(S707="",MEDIAN($S$2:$S$1409),S707)</f>
        <v>43.6</v>
      </c>
    </row>
    <row r="708" spans="1:20" ht="15" customHeight="1">
      <c r="A708" s="6" t="s">
        <v>743</v>
      </c>
      <c r="B708" s="7">
        <v>45686</v>
      </c>
      <c r="C708" s="6" t="s">
        <v>727</v>
      </c>
      <c r="D708" s="6" t="s">
        <v>22</v>
      </c>
      <c r="E708" s="6" t="s">
        <v>23</v>
      </c>
      <c r="F708" s="6" t="str">
        <f>IF(E708="","Unknown",E708)</f>
        <v>Desktop</v>
      </c>
      <c r="G708" s="6" t="s">
        <v>29</v>
      </c>
      <c r="H708" s="6" t="str">
        <f>IF(G708="","Unknown",G708)</f>
        <v>Organic</v>
      </c>
      <c r="I708" s="6" t="s">
        <v>25</v>
      </c>
      <c r="J708" s="6">
        <v>1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f>IF(O708&gt;0,1,0)</f>
        <v>0</v>
      </c>
      <c r="Q708" s="6">
        <v>0</v>
      </c>
      <c r="S708" s="6"/>
      <c r="T708" s="6">
        <f>IF(S708="",MEDIAN($S$2:$S$1409),S708)</f>
        <v>59.9</v>
      </c>
    </row>
    <row r="709" spans="1:20" ht="15" customHeight="1">
      <c r="A709" s="6" t="s">
        <v>744</v>
      </c>
      <c r="B709" s="7">
        <v>45788</v>
      </c>
      <c r="C709" s="6" t="s">
        <v>727</v>
      </c>
      <c r="D709" s="6" t="s">
        <v>36</v>
      </c>
      <c r="E709" s="6" t="s">
        <v>28</v>
      </c>
      <c r="F709" s="6" t="str">
        <f>IF(E709="","Unknown",E709)</f>
        <v>Mobile</v>
      </c>
      <c r="G709" s="6" t="s">
        <v>24</v>
      </c>
      <c r="H709" s="6" t="str">
        <f>IF(G709="","Unknown",G709)</f>
        <v>Email</v>
      </c>
      <c r="I709" s="6" t="s">
        <v>30</v>
      </c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f>IF(O709&gt;0,1,0)</f>
        <v>0</v>
      </c>
      <c r="Q709" s="6">
        <v>0</v>
      </c>
      <c r="S709" s="6">
        <v>55.2</v>
      </c>
      <c r="T709" s="6">
        <f>IF(S709="",MEDIAN($S$2:$S$1409),S709)</f>
        <v>55.2</v>
      </c>
    </row>
    <row r="710" spans="1:20" ht="15" customHeight="1">
      <c r="A710" s="6" t="s">
        <v>745</v>
      </c>
      <c r="B710" s="7">
        <v>45769</v>
      </c>
      <c r="C710" s="6" t="s">
        <v>727</v>
      </c>
      <c r="D710" s="6" t="s">
        <v>36</v>
      </c>
      <c r="E710" s="6" t="s">
        <v>28</v>
      </c>
      <c r="F710" s="6" t="str">
        <f>IF(E710="","Unknown",E710)</f>
        <v>Mobile</v>
      </c>
      <c r="G710" s="6" t="s">
        <v>29</v>
      </c>
      <c r="H710" s="6" t="str">
        <f>IF(G710="","Unknown",G710)</f>
        <v>Organic</v>
      </c>
      <c r="I710" s="6" t="s">
        <v>25</v>
      </c>
      <c r="J710" s="6">
        <v>1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f>IF(O710&gt;0,1,0)</f>
        <v>0</v>
      </c>
      <c r="Q710" s="6">
        <v>0</v>
      </c>
      <c r="S710" s="6">
        <v>49.4</v>
      </c>
      <c r="T710" s="6">
        <f>IF(S710="",MEDIAN($S$2:$S$1409),S710)</f>
        <v>49.4</v>
      </c>
    </row>
    <row r="711" spans="1:20" ht="15" customHeight="1">
      <c r="A711" s="6" t="s">
        <v>746</v>
      </c>
      <c r="B711" s="7">
        <v>45719</v>
      </c>
      <c r="C711" s="6" t="s">
        <v>727</v>
      </c>
      <c r="D711" s="6" t="s">
        <v>36</v>
      </c>
      <c r="E711" s="6" t="s">
        <v>28</v>
      </c>
      <c r="F711" s="6" t="str">
        <f>IF(E711="","Unknown",E711)</f>
        <v>Mobile</v>
      </c>
      <c r="G711" s="6" t="s">
        <v>45</v>
      </c>
      <c r="H711" s="6" t="str">
        <f>IF(G711="","Unknown",G711)</f>
        <v>Social</v>
      </c>
      <c r="I711" s="6" t="s">
        <v>30</v>
      </c>
      <c r="J711" s="6">
        <v>1</v>
      </c>
      <c r="K711" s="6">
        <v>1</v>
      </c>
      <c r="L711" s="6">
        <v>1</v>
      </c>
      <c r="M711" s="6">
        <v>0</v>
      </c>
      <c r="N711" s="6">
        <v>0</v>
      </c>
      <c r="O711" s="6">
        <v>1</v>
      </c>
      <c r="P711" s="6">
        <f>IF(O711&gt;0,1,0)</f>
        <v>1</v>
      </c>
      <c r="Q711" s="6">
        <v>0</v>
      </c>
      <c r="S711" s="6">
        <v>60.1</v>
      </c>
      <c r="T711" s="6">
        <f>IF(S711="",MEDIAN($S$2:$S$1409),S711)</f>
        <v>60.1</v>
      </c>
    </row>
    <row r="712" spans="1:20" ht="15" customHeight="1">
      <c r="A712" s="6" t="s">
        <v>747</v>
      </c>
      <c r="B712" s="7">
        <v>45734</v>
      </c>
      <c r="C712" s="6" t="s">
        <v>727</v>
      </c>
      <c r="D712" s="6" t="s">
        <v>22</v>
      </c>
      <c r="E712" s="6" t="s">
        <v>28</v>
      </c>
      <c r="F712" s="6" t="str">
        <f>IF(E712="","Unknown",E712)</f>
        <v>Mobile</v>
      </c>
      <c r="G712" s="6" t="s">
        <v>43</v>
      </c>
      <c r="H712" s="6" t="str">
        <f>IF(G712="","Unknown",G712)</f>
        <v>Referral</v>
      </c>
      <c r="I712" s="6" t="s">
        <v>30</v>
      </c>
      <c r="J712" s="6">
        <v>1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f>IF(O712&gt;0,1,0)</f>
        <v>0</v>
      </c>
      <c r="Q712" s="6">
        <v>0</v>
      </c>
      <c r="S712" s="6">
        <v>55.9</v>
      </c>
      <c r="T712" s="6">
        <f>IF(S712="",MEDIAN($S$2:$S$1409),S712)</f>
        <v>55.9</v>
      </c>
    </row>
    <row r="713" spans="1:20" ht="15" customHeight="1">
      <c r="A713" s="6" t="s">
        <v>748</v>
      </c>
      <c r="B713" s="7">
        <v>45752</v>
      </c>
      <c r="C713" s="6" t="s">
        <v>727</v>
      </c>
      <c r="D713" s="6" t="s">
        <v>22</v>
      </c>
      <c r="E713" s="6" t="s">
        <v>28</v>
      </c>
      <c r="F713" s="6" t="str">
        <f>IF(E713="","Unknown",E713)</f>
        <v>Mobile</v>
      </c>
      <c r="G713" s="6" t="s">
        <v>29</v>
      </c>
      <c r="H713" s="6" t="str">
        <f>IF(G713="","Unknown",G713)</f>
        <v>Organic</v>
      </c>
      <c r="I713" s="6" t="s">
        <v>25</v>
      </c>
      <c r="J713" s="6">
        <v>1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f>IF(O713&gt;0,1,0)</f>
        <v>0</v>
      </c>
      <c r="Q713" s="6">
        <v>0</v>
      </c>
      <c r="S713" s="6">
        <v>51.5</v>
      </c>
      <c r="T713" s="6">
        <f>IF(S713="",MEDIAN($S$2:$S$1409),S713)</f>
        <v>51.5</v>
      </c>
    </row>
    <row r="714" spans="1:20" ht="15" customHeight="1">
      <c r="A714" s="6" t="s">
        <v>749</v>
      </c>
      <c r="B714" s="7">
        <v>45763</v>
      </c>
      <c r="C714" s="6" t="s">
        <v>727</v>
      </c>
      <c r="D714" s="6" t="s">
        <v>32</v>
      </c>
      <c r="E714" s="6" t="s">
        <v>28</v>
      </c>
      <c r="F714" s="6" t="str">
        <f>IF(E714="","Unknown",E714)</f>
        <v>Mobile</v>
      </c>
      <c r="G714" s="6" t="s">
        <v>29</v>
      </c>
      <c r="H714" s="6" t="str">
        <f>IF(G714="","Unknown",G714)</f>
        <v>Organic</v>
      </c>
      <c r="I714" s="6" t="s">
        <v>30</v>
      </c>
      <c r="J714" s="6">
        <v>1</v>
      </c>
      <c r="K714" s="6">
        <v>1</v>
      </c>
      <c r="L714" s="6">
        <v>1</v>
      </c>
      <c r="M714" s="6">
        <v>1</v>
      </c>
      <c r="N714" s="6">
        <v>516.66999999999996</v>
      </c>
      <c r="O714" s="6">
        <v>0</v>
      </c>
      <c r="P714" s="6">
        <f>IF(O714&gt;0,1,0)</f>
        <v>0</v>
      </c>
      <c r="Q714" s="6">
        <v>0</v>
      </c>
      <c r="R714" s="6">
        <v>11</v>
      </c>
      <c r="S714" s="6">
        <v>57.9</v>
      </c>
      <c r="T714" s="6">
        <f>IF(S714="",MEDIAN($S$2:$S$1409),S714)</f>
        <v>57.9</v>
      </c>
    </row>
    <row r="715" spans="1:20" ht="15" customHeight="1">
      <c r="A715" s="6" t="s">
        <v>750</v>
      </c>
      <c r="B715" s="7">
        <v>45767</v>
      </c>
      <c r="C715" s="6" t="s">
        <v>727</v>
      </c>
      <c r="D715" s="6" t="s">
        <v>36</v>
      </c>
      <c r="E715" s="6" t="s">
        <v>28</v>
      </c>
      <c r="F715" s="6" t="str">
        <f>IF(E715="","Unknown",E715)</f>
        <v>Mobile</v>
      </c>
      <c r="G715" s="6" t="s">
        <v>43</v>
      </c>
      <c r="H715" s="6" t="str">
        <f>IF(G715="","Unknown",G715)</f>
        <v>Referral</v>
      </c>
      <c r="I715" s="6" t="s">
        <v>30</v>
      </c>
      <c r="J715" s="6">
        <v>1</v>
      </c>
      <c r="K715" s="6">
        <v>1</v>
      </c>
      <c r="L715" s="6">
        <v>1</v>
      </c>
      <c r="M715" s="6">
        <v>1</v>
      </c>
      <c r="N715" s="6">
        <v>277.18</v>
      </c>
      <c r="O715" s="6">
        <v>2</v>
      </c>
      <c r="P715" s="6">
        <f>IF(O715&gt;0,1,0)</f>
        <v>1</v>
      </c>
      <c r="Q715" s="6">
        <v>0</v>
      </c>
      <c r="R715" s="6">
        <v>8</v>
      </c>
      <c r="S715" s="6">
        <v>59.2</v>
      </c>
      <c r="T715" s="6">
        <f>IF(S715="",MEDIAN($S$2:$S$1409),S715)</f>
        <v>59.2</v>
      </c>
    </row>
    <row r="716" spans="1:20" ht="15" customHeight="1">
      <c r="A716" s="6" t="s">
        <v>751</v>
      </c>
      <c r="B716" s="7">
        <v>45703</v>
      </c>
      <c r="C716" s="6" t="s">
        <v>727</v>
      </c>
      <c r="D716" s="6" t="s">
        <v>36</v>
      </c>
      <c r="E716" s="6" t="s">
        <v>28</v>
      </c>
      <c r="F716" s="6" t="str">
        <f>IF(E716="","Unknown",E716)</f>
        <v>Mobile</v>
      </c>
      <c r="G716" s="6" t="s">
        <v>29</v>
      </c>
      <c r="H716" s="6" t="str">
        <f>IF(G716="","Unknown",G716)</f>
        <v>Organic</v>
      </c>
      <c r="I716" s="6" t="s">
        <v>30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f>IF(O716&gt;0,1,0)</f>
        <v>0</v>
      </c>
      <c r="Q716" s="6">
        <v>0</v>
      </c>
      <c r="S716" s="6">
        <v>64.2</v>
      </c>
      <c r="T716" s="6">
        <f>IF(S716="",MEDIAN($S$2:$S$1409),S716)</f>
        <v>64.2</v>
      </c>
    </row>
    <row r="717" spans="1:20" ht="15" customHeight="1">
      <c r="A717" s="6" t="s">
        <v>752</v>
      </c>
      <c r="B717" s="7">
        <v>45678</v>
      </c>
      <c r="C717" s="6" t="s">
        <v>727</v>
      </c>
      <c r="D717" s="6" t="s">
        <v>36</v>
      </c>
      <c r="E717" s="6" t="s">
        <v>28</v>
      </c>
      <c r="F717" s="6" t="str">
        <f>IF(E717="","Unknown",E717)</f>
        <v>Mobile</v>
      </c>
      <c r="G717" s="6" t="s">
        <v>29</v>
      </c>
      <c r="H717" s="6" t="str">
        <f>IF(G717="","Unknown",G717)</f>
        <v>Organic</v>
      </c>
      <c r="I717" s="6" t="s">
        <v>30</v>
      </c>
      <c r="J717" s="6">
        <v>1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f>IF(O717&gt;0,1,0)</f>
        <v>0</v>
      </c>
      <c r="Q717" s="6">
        <v>0</v>
      </c>
      <c r="S717" s="6">
        <v>68.8</v>
      </c>
      <c r="T717" s="6">
        <f>IF(S717="",MEDIAN($S$2:$S$1409),S717)</f>
        <v>68.8</v>
      </c>
    </row>
    <row r="718" spans="1:20" ht="15" customHeight="1">
      <c r="A718" s="6" t="s">
        <v>753</v>
      </c>
      <c r="B718" s="7">
        <v>45800</v>
      </c>
      <c r="C718" s="6" t="s">
        <v>727</v>
      </c>
      <c r="D718" s="6" t="s">
        <v>22</v>
      </c>
      <c r="E718" s="6" t="s">
        <v>28</v>
      </c>
      <c r="F718" s="6" t="str">
        <f>IF(E718="","Unknown",E718)</f>
        <v>Mobile</v>
      </c>
      <c r="G718" s="6" t="s">
        <v>33</v>
      </c>
      <c r="H718" s="6" t="str">
        <f>IF(G718="","Unknown",G718)</f>
        <v>Paid Search</v>
      </c>
      <c r="I718" s="6" t="s">
        <v>34</v>
      </c>
      <c r="J718" s="6">
        <v>1</v>
      </c>
      <c r="K718" s="6">
        <v>1</v>
      </c>
      <c r="L718" s="6">
        <v>1</v>
      </c>
      <c r="M718" s="6">
        <v>0</v>
      </c>
      <c r="N718" s="6">
        <v>0</v>
      </c>
      <c r="O718" s="6">
        <v>0</v>
      </c>
      <c r="P718" s="6">
        <f>IF(O718&gt;0,1,0)</f>
        <v>0</v>
      </c>
      <c r="Q718" s="6">
        <v>0</v>
      </c>
      <c r="S718" s="6">
        <v>77.900000000000006</v>
      </c>
      <c r="T718" s="6">
        <f>IF(S718="",MEDIAN($S$2:$S$1409),S718)</f>
        <v>77.900000000000006</v>
      </c>
    </row>
    <row r="719" spans="1:20" ht="15" customHeight="1">
      <c r="A719" s="6" t="s">
        <v>754</v>
      </c>
      <c r="B719" s="7">
        <v>45679</v>
      </c>
      <c r="C719" s="6" t="s">
        <v>727</v>
      </c>
      <c r="D719" s="6" t="s">
        <v>27</v>
      </c>
      <c r="E719" s="6" t="s">
        <v>28</v>
      </c>
      <c r="F719" s="6" t="str">
        <f>IF(E719="","Unknown",E719)</f>
        <v>Mobile</v>
      </c>
      <c r="G719" s="6" t="s">
        <v>33</v>
      </c>
      <c r="H719" s="6" t="str">
        <f>IF(G719="","Unknown",G719)</f>
        <v>Paid Search</v>
      </c>
      <c r="I719" s="6" t="s">
        <v>25</v>
      </c>
      <c r="J719" s="6">
        <v>0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f>IF(O719&gt;0,1,0)</f>
        <v>0</v>
      </c>
      <c r="Q719" s="6">
        <v>0</v>
      </c>
      <c r="S719" s="6">
        <v>92.1</v>
      </c>
      <c r="T719" s="6">
        <f>IF(S719="",MEDIAN($S$2:$S$1409),S719)</f>
        <v>92.1</v>
      </c>
    </row>
    <row r="720" spans="1:20" ht="15" customHeight="1">
      <c r="A720" s="6" t="s">
        <v>755</v>
      </c>
      <c r="B720" s="7">
        <v>45771</v>
      </c>
      <c r="C720" s="6" t="s">
        <v>727</v>
      </c>
      <c r="D720" s="6" t="s">
        <v>27</v>
      </c>
      <c r="E720" s="6" t="s">
        <v>28</v>
      </c>
      <c r="F720" s="6" t="str">
        <f>IF(E720="","Unknown",E720)</f>
        <v>Mobile</v>
      </c>
      <c r="G720" s="6" t="s">
        <v>33</v>
      </c>
      <c r="H720" s="6" t="str">
        <f>IF(G720="","Unknown",G720)</f>
        <v>Paid Search</v>
      </c>
      <c r="I720" s="6" t="s">
        <v>34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f>IF(O720&gt;0,1,0)</f>
        <v>0</v>
      </c>
      <c r="Q720" s="6">
        <v>0</v>
      </c>
      <c r="S720" s="6">
        <v>63.6</v>
      </c>
      <c r="T720" s="6">
        <f>IF(S720="",MEDIAN($S$2:$S$1409),S720)</f>
        <v>63.6</v>
      </c>
    </row>
    <row r="721" spans="1:20" ht="15" customHeight="1">
      <c r="A721" s="6" t="s">
        <v>756</v>
      </c>
      <c r="B721" s="7">
        <v>45674</v>
      </c>
      <c r="C721" s="6" t="s">
        <v>727</v>
      </c>
      <c r="D721" s="6" t="s">
        <v>27</v>
      </c>
      <c r="E721" s="6" t="s">
        <v>23</v>
      </c>
      <c r="F721" s="6" t="str">
        <f>IF(E721="","Unknown",E721)</f>
        <v>Desktop</v>
      </c>
      <c r="G721" s="6" t="s">
        <v>24</v>
      </c>
      <c r="H721" s="6" t="str">
        <f>IF(G721="","Unknown",G721)</f>
        <v>Email</v>
      </c>
      <c r="I721" s="6" t="s">
        <v>30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2</v>
      </c>
      <c r="P721" s="6">
        <f>IF(O721&gt;0,1,0)</f>
        <v>1</v>
      </c>
      <c r="Q721" s="6">
        <v>0</v>
      </c>
      <c r="S721" s="6">
        <v>61.6</v>
      </c>
      <c r="T721" s="6">
        <f>IF(S721="",MEDIAN($S$2:$S$1409),S721)</f>
        <v>61.6</v>
      </c>
    </row>
    <row r="722" spans="1:20" ht="15" customHeight="1">
      <c r="A722" s="6" t="s">
        <v>757</v>
      </c>
      <c r="B722" s="7">
        <v>45679</v>
      </c>
      <c r="C722" s="6" t="s">
        <v>727</v>
      </c>
      <c r="D722" s="6" t="s">
        <v>32</v>
      </c>
      <c r="E722" s="6" t="s">
        <v>28</v>
      </c>
      <c r="F722" s="6" t="str">
        <f>IF(E722="","Unknown",E722)</f>
        <v>Mobile</v>
      </c>
      <c r="G722" s="6" t="s">
        <v>43</v>
      </c>
      <c r="H722" s="6" t="str">
        <f>IF(G722="","Unknown",G722)</f>
        <v>Referral</v>
      </c>
      <c r="I722" s="6" t="s">
        <v>25</v>
      </c>
      <c r="J722" s="6">
        <v>1</v>
      </c>
      <c r="K722" s="6">
        <v>1</v>
      </c>
      <c r="L722" s="6">
        <v>0</v>
      </c>
      <c r="M722" s="6">
        <v>0</v>
      </c>
      <c r="N722" s="6">
        <v>0</v>
      </c>
      <c r="O722" s="6">
        <v>0</v>
      </c>
      <c r="P722" s="6">
        <f>IF(O722&gt;0,1,0)</f>
        <v>0</v>
      </c>
      <c r="Q722" s="6">
        <v>0</v>
      </c>
      <c r="S722" s="6">
        <v>82.3</v>
      </c>
      <c r="T722" s="6">
        <f>IF(S722="",MEDIAN($S$2:$S$1409),S722)</f>
        <v>82.3</v>
      </c>
    </row>
    <row r="723" spans="1:20" ht="15" customHeight="1">
      <c r="A723" s="6" t="s">
        <v>758</v>
      </c>
      <c r="B723" s="7">
        <v>45781</v>
      </c>
      <c r="C723" s="6" t="s">
        <v>727</v>
      </c>
      <c r="D723" s="6" t="s">
        <v>32</v>
      </c>
      <c r="E723" s="6" t="s">
        <v>23</v>
      </c>
      <c r="F723" s="6" t="str">
        <f>IF(E723="","Unknown",E723)</f>
        <v>Desktop</v>
      </c>
      <c r="G723" s="6" t="s">
        <v>33</v>
      </c>
      <c r="H723" s="6" t="str">
        <f>IF(G723="","Unknown",G723)</f>
        <v>Paid Search</v>
      </c>
      <c r="I723" s="6" t="s">
        <v>30</v>
      </c>
      <c r="J723" s="6">
        <v>1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f>IF(O723&gt;0,1,0)</f>
        <v>0</v>
      </c>
      <c r="Q723" s="6">
        <v>0</v>
      </c>
      <c r="S723" s="6">
        <v>79.3</v>
      </c>
      <c r="T723" s="6">
        <f>IF(S723="",MEDIAN($S$2:$S$1409),S723)</f>
        <v>79.3</v>
      </c>
    </row>
    <row r="724" spans="1:20" ht="15" customHeight="1">
      <c r="A724" s="6" t="s">
        <v>759</v>
      </c>
      <c r="B724" s="7">
        <v>45729</v>
      </c>
      <c r="C724" s="6" t="s">
        <v>727</v>
      </c>
      <c r="D724" s="6" t="s">
        <v>36</v>
      </c>
      <c r="E724" s="6" t="s">
        <v>28</v>
      </c>
      <c r="F724" s="6" t="str">
        <f>IF(E724="","Unknown",E724)</f>
        <v>Mobile</v>
      </c>
      <c r="G724" s="6"/>
      <c r="H724" s="6" t="str">
        <f>IF(G724="","Unknown",G724)</f>
        <v>Unknown</v>
      </c>
      <c r="I724" s="6" t="s">
        <v>30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f>IF(O724&gt;0,1,0)</f>
        <v>0</v>
      </c>
      <c r="Q724" s="6">
        <v>0</v>
      </c>
      <c r="S724" s="6">
        <v>57.7</v>
      </c>
      <c r="T724" s="6">
        <f>IF(S724="",MEDIAN($S$2:$S$1409),S724)</f>
        <v>57.7</v>
      </c>
    </row>
    <row r="725" spans="1:20" ht="15" customHeight="1">
      <c r="A725" s="6" t="s">
        <v>760</v>
      </c>
      <c r="B725" s="7">
        <v>45659</v>
      </c>
      <c r="C725" s="6" t="s">
        <v>727</v>
      </c>
      <c r="D725" s="6" t="s">
        <v>22</v>
      </c>
      <c r="E725" s="6" t="s">
        <v>28</v>
      </c>
      <c r="F725" s="6" t="str">
        <f>IF(E725="","Unknown",E725)</f>
        <v>Mobile</v>
      </c>
      <c r="G725" s="6" t="s">
        <v>29</v>
      </c>
      <c r="H725" s="6" t="str">
        <f>IF(G725="","Unknown",G725)</f>
        <v>Organic</v>
      </c>
      <c r="I725" s="6" t="s">
        <v>25</v>
      </c>
      <c r="J725" s="6">
        <v>1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f>IF(O725&gt;0,1,0)</f>
        <v>0</v>
      </c>
      <c r="Q725" s="6">
        <v>0</v>
      </c>
      <c r="S725" s="6">
        <v>63.1</v>
      </c>
      <c r="T725" s="6">
        <f>IF(S725="",MEDIAN($S$2:$S$1409),S725)</f>
        <v>63.1</v>
      </c>
    </row>
    <row r="726" spans="1:20" ht="15" customHeight="1">
      <c r="A726" s="6" t="s">
        <v>761</v>
      </c>
      <c r="B726" s="7">
        <v>45670</v>
      </c>
      <c r="C726" s="6" t="s">
        <v>727</v>
      </c>
      <c r="D726" s="6" t="s">
        <v>32</v>
      </c>
      <c r="E726" s="6" t="s">
        <v>28</v>
      </c>
      <c r="F726" s="6" t="str">
        <f>IF(E726="","Unknown",E726)</f>
        <v>Mobile</v>
      </c>
      <c r="G726" s="6" t="s">
        <v>33</v>
      </c>
      <c r="H726" s="6" t="str">
        <f>IF(G726="","Unknown",G726)</f>
        <v>Paid Search</v>
      </c>
      <c r="I726" s="6" t="s">
        <v>25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f>IF(O726&gt;0,1,0)</f>
        <v>0</v>
      </c>
      <c r="Q726" s="6">
        <v>0</v>
      </c>
      <c r="S726" s="6">
        <v>72.3</v>
      </c>
      <c r="T726" s="6">
        <f>IF(S726="",MEDIAN($S$2:$S$1409),S726)</f>
        <v>72.3</v>
      </c>
    </row>
    <row r="727" spans="1:20" ht="15" customHeight="1">
      <c r="A727" s="6" t="s">
        <v>762</v>
      </c>
      <c r="B727" s="7">
        <v>45697</v>
      </c>
      <c r="C727" s="6" t="s">
        <v>727</v>
      </c>
      <c r="D727" s="6" t="s">
        <v>32</v>
      </c>
      <c r="E727" s="6" t="s">
        <v>28</v>
      </c>
      <c r="F727" s="6" t="str">
        <f>IF(E727="","Unknown",E727)</f>
        <v>Mobile</v>
      </c>
      <c r="G727" s="6" t="s">
        <v>45</v>
      </c>
      <c r="H727" s="6" t="str">
        <f>IF(G727="","Unknown",G727)</f>
        <v>Social</v>
      </c>
      <c r="I727" s="6" t="s">
        <v>30</v>
      </c>
      <c r="J727" s="6">
        <v>1</v>
      </c>
      <c r="K727" s="6">
        <v>1</v>
      </c>
      <c r="L727" s="6">
        <v>1</v>
      </c>
      <c r="M727" s="6">
        <v>0</v>
      </c>
      <c r="N727" s="6">
        <v>0</v>
      </c>
      <c r="O727" s="6">
        <v>0</v>
      </c>
      <c r="P727" s="6">
        <f>IF(O727&gt;0,1,0)</f>
        <v>0</v>
      </c>
      <c r="Q727" s="6">
        <v>0</v>
      </c>
      <c r="S727" s="6">
        <v>78</v>
      </c>
      <c r="T727" s="6">
        <f>IF(S727="",MEDIAN($S$2:$S$1409),S727)</f>
        <v>78</v>
      </c>
    </row>
    <row r="728" spans="1:20" ht="15" customHeight="1">
      <c r="A728" s="6" t="s">
        <v>763</v>
      </c>
      <c r="B728" s="7">
        <v>45756</v>
      </c>
      <c r="C728" s="6" t="s">
        <v>727</v>
      </c>
      <c r="D728" s="6" t="s">
        <v>32</v>
      </c>
      <c r="E728" s="6" t="s">
        <v>23</v>
      </c>
      <c r="F728" s="6" t="str">
        <f>IF(E728="","Unknown",E728)</f>
        <v>Desktop</v>
      </c>
      <c r="G728" s="6" t="s">
        <v>45</v>
      </c>
      <c r="H728" s="6" t="str">
        <f>IF(G728="","Unknown",G728)</f>
        <v>Social</v>
      </c>
      <c r="I728" s="6" t="s">
        <v>30</v>
      </c>
      <c r="J728" s="6">
        <v>1</v>
      </c>
      <c r="K728" s="6">
        <v>1</v>
      </c>
      <c r="L728" s="6">
        <v>0</v>
      </c>
      <c r="M728" s="6">
        <v>0</v>
      </c>
      <c r="N728" s="6">
        <v>0</v>
      </c>
      <c r="O728" s="6">
        <v>2</v>
      </c>
      <c r="P728" s="6">
        <f>IF(O728&gt;0,1,0)</f>
        <v>1</v>
      </c>
      <c r="Q728" s="6">
        <v>0</v>
      </c>
      <c r="S728" s="6">
        <v>59.1</v>
      </c>
      <c r="T728" s="6">
        <f>IF(S728="",MEDIAN($S$2:$S$1409),S728)</f>
        <v>59.1</v>
      </c>
    </row>
    <row r="729" spans="1:20" ht="15" customHeight="1">
      <c r="A729" s="6" t="s">
        <v>764</v>
      </c>
      <c r="B729" s="7">
        <v>45659</v>
      </c>
      <c r="C729" s="6" t="s">
        <v>727</v>
      </c>
      <c r="D729" s="6" t="s">
        <v>36</v>
      </c>
      <c r="E729" s="6" t="s">
        <v>28</v>
      </c>
      <c r="F729" s="6" t="str">
        <f>IF(E729="","Unknown",E729)</f>
        <v>Mobile</v>
      </c>
      <c r="G729" s="6" t="s">
        <v>33</v>
      </c>
      <c r="H729" s="6" t="str">
        <f>IF(G729="","Unknown",G729)</f>
        <v>Paid Search</v>
      </c>
      <c r="I729" s="6" t="s">
        <v>30</v>
      </c>
      <c r="J729" s="6">
        <v>1</v>
      </c>
      <c r="K729" s="6">
        <v>1</v>
      </c>
      <c r="L729" s="6">
        <v>1</v>
      </c>
      <c r="M729" s="6">
        <v>1</v>
      </c>
      <c r="N729" s="6">
        <v>604.09</v>
      </c>
      <c r="O729" s="6">
        <v>0</v>
      </c>
      <c r="P729" s="6">
        <f>IF(O729&gt;0,1,0)</f>
        <v>0</v>
      </c>
      <c r="Q729" s="6">
        <v>0</v>
      </c>
      <c r="R729" s="6">
        <v>7</v>
      </c>
      <c r="S729" s="6">
        <v>47.1</v>
      </c>
      <c r="T729" s="6">
        <f>IF(S729="",MEDIAN($S$2:$S$1409),S729)</f>
        <v>47.1</v>
      </c>
    </row>
    <row r="730" spans="1:20" ht="15" customHeight="1">
      <c r="A730" s="6" t="s">
        <v>765</v>
      </c>
      <c r="B730" s="7">
        <v>45692</v>
      </c>
      <c r="C730" s="6" t="s">
        <v>727</v>
      </c>
      <c r="D730" s="6" t="s">
        <v>36</v>
      </c>
      <c r="E730" s="6" t="s">
        <v>28</v>
      </c>
      <c r="F730" s="6" t="str">
        <f>IF(E730="","Unknown",E730)</f>
        <v>Mobile</v>
      </c>
      <c r="G730" s="6"/>
      <c r="H730" s="6" t="str">
        <f>IF(G730="","Unknown",G730)</f>
        <v>Unknown</v>
      </c>
      <c r="I730" s="6" t="s">
        <v>34</v>
      </c>
      <c r="J730" s="6">
        <v>1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f>IF(O730&gt;0,1,0)</f>
        <v>0</v>
      </c>
      <c r="Q730" s="6">
        <v>0</v>
      </c>
      <c r="S730" s="6">
        <v>64.900000000000006</v>
      </c>
      <c r="T730" s="6">
        <f>IF(S730="",MEDIAN($S$2:$S$1409),S730)</f>
        <v>64.900000000000006</v>
      </c>
    </row>
    <row r="731" spans="1:20" ht="15" customHeight="1">
      <c r="A731" s="6" t="s">
        <v>766</v>
      </c>
      <c r="B731" s="7">
        <v>45707</v>
      </c>
      <c r="C731" s="6" t="s">
        <v>727</v>
      </c>
      <c r="D731" s="6" t="s">
        <v>36</v>
      </c>
      <c r="E731" s="6" t="s">
        <v>38</v>
      </c>
      <c r="F731" s="6" t="str">
        <f>IF(E731="","Unknown",E731)</f>
        <v>Tablet</v>
      </c>
      <c r="G731" s="6" t="s">
        <v>33</v>
      </c>
      <c r="H731" s="6" t="str">
        <f>IF(G731="","Unknown",G731)</f>
        <v>Paid Search</v>
      </c>
      <c r="I731" s="6" t="s">
        <v>30</v>
      </c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f>IF(O731&gt;0,1,0)</f>
        <v>0</v>
      </c>
      <c r="Q731" s="6">
        <v>0</v>
      </c>
      <c r="S731" s="6">
        <v>67.3</v>
      </c>
      <c r="T731" s="6">
        <f>IF(S731="",MEDIAN($S$2:$S$1409),S731)</f>
        <v>67.3</v>
      </c>
    </row>
    <row r="732" spans="1:20" ht="15" customHeight="1">
      <c r="A732" s="6" t="s">
        <v>767</v>
      </c>
      <c r="B732" s="7">
        <v>45748</v>
      </c>
      <c r="C732" s="6" t="s">
        <v>727</v>
      </c>
      <c r="D732" s="6" t="s">
        <v>32</v>
      </c>
      <c r="E732" s="6" t="s">
        <v>28</v>
      </c>
      <c r="F732" s="6" t="str">
        <f>IF(E732="","Unknown",E732)</f>
        <v>Mobile</v>
      </c>
      <c r="G732" s="6" t="s">
        <v>33</v>
      </c>
      <c r="H732" s="6" t="str">
        <f>IF(G732="","Unknown",G732)</f>
        <v>Paid Search</v>
      </c>
      <c r="I732" s="6" t="s">
        <v>25</v>
      </c>
      <c r="J732" s="6">
        <v>1</v>
      </c>
      <c r="K732" s="6">
        <v>0</v>
      </c>
      <c r="L732" s="6">
        <v>0</v>
      </c>
      <c r="M732" s="6">
        <v>0</v>
      </c>
      <c r="N732" s="6">
        <v>0</v>
      </c>
      <c r="O732" s="6">
        <v>2</v>
      </c>
      <c r="P732" s="6">
        <f>IF(O732&gt;0,1,0)</f>
        <v>1</v>
      </c>
      <c r="Q732" s="6">
        <v>0</v>
      </c>
      <c r="S732" s="6">
        <v>52.9</v>
      </c>
      <c r="T732" s="6">
        <f>IF(S732="",MEDIAN($S$2:$S$1409),S732)</f>
        <v>52.9</v>
      </c>
    </row>
    <row r="733" spans="1:20" ht="15" customHeight="1">
      <c r="A733" s="6" t="s">
        <v>768</v>
      </c>
      <c r="B733" s="7">
        <v>45686</v>
      </c>
      <c r="C733" s="6" t="s">
        <v>727</v>
      </c>
      <c r="D733" s="6" t="s">
        <v>22</v>
      </c>
      <c r="E733" s="6" t="s">
        <v>28</v>
      </c>
      <c r="F733" s="6" t="str">
        <f>IF(E733="","Unknown",E733)</f>
        <v>Mobile</v>
      </c>
      <c r="G733" s="6" t="s">
        <v>43</v>
      </c>
      <c r="H733" s="6" t="str">
        <f>IF(G733="","Unknown",G733)</f>
        <v>Referral</v>
      </c>
      <c r="I733" s="6" t="s">
        <v>30</v>
      </c>
      <c r="J733" s="6">
        <v>1</v>
      </c>
      <c r="K733" s="6">
        <v>1</v>
      </c>
      <c r="L733" s="6">
        <v>1</v>
      </c>
      <c r="M733" s="6">
        <v>1</v>
      </c>
      <c r="N733" s="6">
        <v>442.37</v>
      </c>
      <c r="O733" s="6">
        <v>1</v>
      </c>
      <c r="P733" s="6">
        <f>IF(O733&gt;0,1,0)</f>
        <v>1</v>
      </c>
      <c r="Q733" s="6">
        <v>0</v>
      </c>
      <c r="R733" s="6">
        <v>4</v>
      </c>
      <c r="S733" s="6">
        <v>69.900000000000006</v>
      </c>
      <c r="T733" s="6">
        <f>IF(S733="",MEDIAN($S$2:$S$1409),S733)</f>
        <v>69.900000000000006</v>
      </c>
    </row>
    <row r="734" spans="1:20" ht="15" customHeight="1">
      <c r="A734" s="6" t="s">
        <v>769</v>
      </c>
      <c r="B734" s="7">
        <v>45795</v>
      </c>
      <c r="C734" s="6" t="s">
        <v>727</v>
      </c>
      <c r="D734" s="6" t="s">
        <v>22</v>
      </c>
      <c r="E734" s="6" t="s">
        <v>28</v>
      </c>
      <c r="F734" s="6" t="str">
        <f>IF(E734="","Unknown",E734)</f>
        <v>Mobile</v>
      </c>
      <c r="G734" s="6" t="s">
        <v>43</v>
      </c>
      <c r="H734" s="6" t="str">
        <f>IF(G734="","Unknown",G734)</f>
        <v>Referral</v>
      </c>
      <c r="I734" s="6" t="s">
        <v>25</v>
      </c>
      <c r="J734" s="6">
        <v>1</v>
      </c>
      <c r="K734" s="6">
        <v>1</v>
      </c>
      <c r="L734" s="6">
        <v>1</v>
      </c>
      <c r="M734" s="6">
        <v>0</v>
      </c>
      <c r="N734" s="6">
        <v>0</v>
      </c>
      <c r="O734" s="6">
        <v>0</v>
      </c>
      <c r="P734" s="6">
        <f>IF(O734&gt;0,1,0)</f>
        <v>0</v>
      </c>
      <c r="Q734" s="6">
        <v>0</v>
      </c>
      <c r="S734" s="6">
        <v>78.900000000000006</v>
      </c>
      <c r="T734" s="6">
        <f>IF(S734="",MEDIAN($S$2:$S$1409),S734)</f>
        <v>78.900000000000006</v>
      </c>
    </row>
    <row r="735" spans="1:20" ht="15" customHeight="1">
      <c r="A735" s="6" t="s">
        <v>770</v>
      </c>
      <c r="B735" s="7">
        <v>45762</v>
      </c>
      <c r="C735" s="6" t="s">
        <v>727</v>
      </c>
      <c r="D735" s="6" t="s">
        <v>32</v>
      </c>
      <c r="E735" s="6" t="s">
        <v>23</v>
      </c>
      <c r="F735" s="6" t="str">
        <f>IF(E735="","Unknown",E735)</f>
        <v>Desktop</v>
      </c>
      <c r="G735" s="6" t="s">
        <v>45</v>
      </c>
      <c r="H735" s="6" t="str">
        <f>IF(G735="","Unknown",G735)</f>
        <v>Social</v>
      </c>
      <c r="I735" s="6" t="s">
        <v>34</v>
      </c>
      <c r="J735" s="6">
        <v>1</v>
      </c>
      <c r="K735" s="6">
        <v>1</v>
      </c>
      <c r="L735" s="6">
        <v>0</v>
      </c>
      <c r="M735" s="6">
        <v>0</v>
      </c>
      <c r="N735" s="6">
        <v>0</v>
      </c>
      <c r="O735" s="6">
        <v>0</v>
      </c>
      <c r="P735" s="6">
        <f>IF(O735&gt;0,1,0)</f>
        <v>0</v>
      </c>
      <c r="Q735" s="6">
        <v>0</v>
      </c>
      <c r="S735" s="6">
        <v>83.3</v>
      </c>
      <c r="T735" s="6">
        <f>IF(S735="",MEDIAN($S$2:$S$1409),S735)</f>
        <v>83.3</v>
      </c>
    </row>
    <row r="736" spans="1:20" ht="15" customHeight="1">
      <c r="A736" s="6" t="s">
        <v>771</v>
      </c>
      <c r="B736" s="7">
        <v>45744</v>
      </c>
      <c r="C736" s="6" t="s">
        <v>727</v>
      </c>
      <c r="D736" s="6" t="s">
        <v>32</v>
      </c>
      <c r="E736" s="6" t="s">
        <v>23</v>
      </c>
      <c r="F736" s="6" t="str">
        <f>IF(E736="","Unknown",E736)</f>
        <v>Desktop</v>
      </c>
      <c r="G736" s="6" t="s">
        <v>24</v>
      </c>
      <c r="H736" s="6" t="str">
        <f>IF(G736="","Unknown",G736)</f>
        <v>Email</v>
      </c>
      <c r="I736" s="6" t="s">
        <v>30</v>
      </c>
      <c r="J736" s="6">
        <v>1</v>
      </c>
      <c r="K736" s="6">
        <v>0</v>
      </c>
      <c r="L736" s="6">
        <v>0</v>
      </c>
      <c r="M736" s="6">
        <v>0</v>
      </c>
      <c r="N736" s="6">
        <v>0</v>
      </c>
      <c r="O736" s="6">
        <v>1</v>
      </c>
      <c r="P736" s="6">
        <f>IF(O736&gt;0,1,0)</f>
        <v>1</v>
      </c>
      <c r="Q736" s="6">
        <v>0</v>
      </c>
      <c r="S736" s="6">
        <v>24.5</v>
      </c>
      <c r="T736" s="6">
        <f>IF(S736="",MEDIAN($S$2:$S$1409),S736)</f>
        <v>24.5</v>
      </c>
    </row>
    <row r="737" spans="1:20" ht="15" customHeight="1">
      <c r="A737" s="6" t="s">
        <v>772</v>
      </c>
      <c r="B737" s="7">
        <v>45748</v>
      </c>
      <c r="C737" s="6" t="s">
        <v>727</v>
      </c>
      <c r="D737" s="6" t="s">
        <v>27</v>
      </c>
      <c r="E737" s="6" t="s">
        <v>28</v>
      </c>
      <c r="F737" s="6" t="str">
        <f>IF(E737="","Unknown",E737)</f>
        <v>Mobile</v>
      </c>
      <c r="G737" s="6" t="s">
        <v>33</v>
      </c>
      <c r="H737" s="6" t="str">
        <f>IF(G737="","Unknown",G737)</f>
        <v>Paid Search</v>
      </c>
      <c r="I737" s="6" t="s">
        <v>25</v>
      </c>
      <c r="J737" s="6">
        <v>1</v>
      </c>
      <c r="K737" s="6">
        <v>1</v>
      </c>
      <c r="L737" s="6">
        <v>0</v>
      </c>
      <c r="M737" s="6">
        <v>0</v>
      </c>
      <c r="N737" s="6">
        <v>0</v>
      </c>
      <c r="O737" s="6">
        <v>1</v>
      </c>
      <c r="P737" s="6">
        <f>IF(O737&gt;0,1,0)</f>
        <v>1</v>
      </c>
      <c r="Q737" s="6">
        <v>0</v>
      </c>
      <c r="S737" s="6">
        <v>56.9</v>
      </c>
      <c r="T737" s="6">
        <f>IF(S737="",MEDIAN($S$2:$S$1409),S737)</f>
        <v>56.9</v>
      </c>
    </row>
    <row r="738" spans="1:20" ht="15" customHeight="1">
      <c r="A738" s="6" t="s">
        <v>773</v>
      </c>
      <c r="B738" s="7">
        <v>45699</v>
      </c>
      <c r="C738" s="6" t="s">
        <v>727</v>
      </c>
      <c r="D738" s="6" t="s">
        <v>27</v>
      </c>
      <c r="E738" s="6" t="s">
        <v>28</v>
      </c>
      <c r="F738" s="6" t="str">
        <f>IF(E738="","Unknown",E738)</f>
        <v>Mobile</v>
      </c>
      <c r="G738" s="6" t="s">
        <v>45</v>
      </c>
      <c r="H738" s="6" t="str">
        <f>IF(G738="","Unknown",G738)</f>
        <v>Social</v>
      </c>
      <c r="I738" s="6" t="s">
        <v>25</v>
      </c>
      <c r="J738" s="6">
        <v>1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f>IF(O738&gt;0,1,0)</f>
        <v>0</v>
      </c>
      <c r="Q738" s="6">
        <v>0</v>
      </c>
      <c r="S738" s="6">
        <v>69.900000000000006</v>
      </c>
      <c r="T738" s="6">
        <f>IF(S738="",MEDIAN($S$2:$S$1409),S738)</f>
        <v>69.900000000000006</v>
      </c>
    </row>
    <row r="739" spans="1:20" ht="15" customHeight="1">
      <c r="A739" s="6" t="s">
        <v>774</v>
      </c>
      <c r="B739" s="7">
        <v>45720</v>
      </c>
      <c r="C739" s="6" t="s">
        <v>727</v>
      </c>
      <c r="D739" s="6" t="s">
        <v>36</v>
      </c>
      <c r="E739" s="6" t="s">
        <v>28</v>
      </c>
      <c r="F739" s="6" t="str">
        <f>IF(E739="","Unknown",E739)</f>
        <v>Mobile</v>
      </c>
      <c r="G739" s="6" t="s">
        <v>29</v>
      </c>
      <c r="H739" s="6" t="str">
        <f>IF(G739="","Unknown",G739)</f>
        <v>Organic</v>
      </c>
      <c r="I739" s="6" t="s">
        <v>30</v>
      </c>
      <c r="J739" s="6">
        <v>1</v>
      </c>
      <c r="K739" s="6">
        <v>1</v>
      </c>
      <c r="L739" s="6">
        <v>1</v>
      </c>
      <c r="M739" s="6">
        <v>0</v>
      </c>
      <c r="N739" s="6">
        <v>0</v>
      </c>
      <c r="O739" s="6">
        <v>0</v>
      </c>
      <c r="P739" s="6">
        <f>IF(O739&gt;0,1,0)</f>
        <v>0</v>
      </c>
      <c r="Q739" s="6">
        <v>0</v>
      </c>
      <c r="S739" s="6">
        <v>81.5</v>
      </c>
      <c r="T739" s="6">
        <f>IF(S739="",MEDIAN($S$2:$S$1409),S739)</f>
        <v>81.5</v>
      </c>
    </row>
    <row r="740" spans="1:20" ht="15" customHeight="1">
      <c r="A740" s="6" t="s">
        <v>775</v>
      </c>
      <c r="B740" s="7">
        <v>45678</v>
      </c>
      <c r="C740" s="6" t="s">
        <v>727</v>
      </c>
      <c r="D740" s="6" t="s">
        <v>22</v>
      </c>
      <c r="E740" s="6" t="s">
        <v>38</v>
      </c>
      <c r="F740" s="6" t="str">
        <f>IF(E740="","Unknown",E740)</f>
        <v>Tablet</v>
      </c>
      <c r="G740" s="6" t="s">
        <v>45</v>
      </c>
      <c r="H740" s="6" t="str">
        <f>IF(G740="","Unknown",G740)</f>
        <v>Social</v>
      </c>
      <c r="I740" s="6" t="s">
        <v>25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2</v>
      </c>
      <c r="P740" s="6">
        <f>IF(O740&gt;0,1,0)</f>
        <v>1</v>
      </c>
      <c r="Q740" s="6">
        <v>0</v>
      </c>
      <c r="S740" s="6">
        <v>37.9</v>
      </c>
      <c r="T740" s="6">
        <f>IF(S740="",MEDIAN($S$2:$S$1409),S740)</f>
        <v>37.9</v>
      </c>
    </row>
    <row r="741" spans="1:20" ht="15" customHeight="1">
      <c r="A741" s="6" t="s">
        <v>776</v>
      </c>
      <c r="B741" s="7">
        <v>45702</v>
      </c>
      <c r="C741" s="6" t="s">
        <v>727</v>
      </c>
      <c r="D741" s="6" t="s">
        <v>22</v>
      </c>
      <c r="E741" s="6" t="s">
        <v>28</v>
      </c>
      <c r="F741" s="6" t="str">
        <f>IF(E741="","Unknown",E741)</f>
        <v>Mobile</v>
      </c>
      <c r="G741" s="6" t="s">
        <v>43</v>
      </c>
      <c r="H741" s="6" t="str">
        <f>IF(G741="","Unknown",G741)</f>
        <v>Referral</v>
      </c>
      <c r="I741" s="6" t="s">
        <v>30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1</v>
      </c>
      <c r="P741" s="6">
        <f>IF(O741&gt;0,1,0)</f>
        <v>1</v>
      </c>
      <c r="Q741" s="6">
        <v>0</v>
      </c>
      <c r="S741" s="6">
        <v>61.7</v>
      </c>
      <c r="T741" s="6">
        <f>IF(S741="",MEDIAN($S$2:$S$1409),S741)</f>
        <v>61.7</v>
      </c>
    </row>
    <row r="742" spans="1:20" ht="15" customHeight="1">
      <c r="A742" s="6" t="s">
        <v>777</v>
      </c>
      <c r="B742" s="7">
        <v>45746</v>
      </c>
      <c r="C742" s="6" t="s">
        <v>727</v>
      </c>
      <c r="D742" s="6" t="s">
        <v>22</v>
      </c>
      <c r="E742" s="6" t="s">
        <v>23</v>
      </c>
      <c r="F742" s="6" t="str">
        <f>IF(E742="","Unknown",E742)</f>
        <v>Desktop</v>
      </c>
      <c r="G742" s="6"/>
      <c r="H742" s="6" t="str">
        <f>IF(G742="","Unknown",G742)</f>
        <v>Unknown</v>
      </c>
      <c r="I742" s="6" t="s">
        <v>34</v>
      </c>
      <c r="J742" s="6">
        <v>1</v>
      </c>
      <c r="K742" s="6">
        <v>0</v>
      </c>
      <c r="L742" s="6">
        <v>0</v>
      </c>
      <c r="M742" s="6">
        <v>0</v>
      </c>
      <c r="N742" s="6">
        <v>0</v>
      </c>
      <c r="O742" s="6">
        <v>2</v>
      </c>
      <c r="P742" s="6">
        <f>IF(O742&gt;0,1,0)</f>
        <v>1</v>
      </c>
      <c r="Q742" s="6">
        <v>0</v>
      </c>
      <c r="S742" s="6">
        <v>53.2</v>
      </c>
      <c r="T742" s="6">
        <f>IF(S742="",MEDIAN($S$2:$S$1409),S742)</f>
        <v>53.2</v>
      </c>
    </row>
    <row r="743" spans="1:20" ht="15" customHeight="1">
      <c r="A743" s="6" t="s">
        <v>778</v>
      </c>
      <c r="B743" s="7">
        <v>45665</v>
      </c>
      <c r="C743" s="6" t="s">
        <v>727</v>
      </c>
      <c r="D743" s="6" t="s">
        <v>22</v>
      </c>
      <c r="E743" s="6" t="s">
        <v>28</v>
      </c>
      <c r="F743" s="6" t="str">
        <f>IF(E743="","Unknown",E743)</f>
        <v>Mobile</v>
      </c>
      <c r="G743" s="6" t="s">
        <v>43</v>
      </c>
      <c r="H743" s="6" t="str">
        <f>IF(G743="","Unknown",G743)</f>
        <v>Referral</v>
      </c>
      <c r="I743" s="6" t="s">
        <v>30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f>IF(O743&gt;0,1,0)</f>
        <v>0</v>
      </c>
      <c r="Q743" s="6">
        <v>0</v>
      </c>
      <c r="S743" s="6">
        <v>61.9</v>
      </c>
      <c r="T743" s="6">
        <f>IF(S743="",MEDIAN($S$2:$S$1409),S743)</f>
        <v>61.9</v>
      </c>
    </row>
    <row r="744" spans="1:20" ht="15" customHeight="1">
      <c r="A744" s="6" t="s">
        <v>779</v>
      </c>
      <c r="B744" s="7">
        <v>45695</v>
      </c>
      <c r="C744" s="6" t="s">
        <v>727</v>
      </c>
      <c r="D744" s="6" t="s">
        <v>22</v>
      </c>
      <c r="E744" s="6" t="s">
        <v>28</v>
      </c>
      <c r="F744" s="6" t="str">
        <f>IF(E744="","Unknown",E744)</f>
        <v>Mobile</v>
      </c>
      <c r="G744" s="6" t="s">
        <v>45</v>
      </c>
      <c r="H744" s="6" t="str">
        <f>IF(G744="","Unknown",G744)</f>
        <v>Social</v>
      </c>
      <c r="I744" s="6" t="s">
        <v>30</v>
      </c>
      <c r="J744" s="6">
        <v>1</v>
      </c>
      <c r="K744" s="6">
        <v>1</v>
      </c>
      <c r="L744" s="6">
        <v>1</v>
      </c>
      <c r="M744" s="6">
        <v>0</v>
      </c>
      <c r="N744" s="6">
        <v>0</v>
      </c>
      <c r="O744" s="6">
        <v>0</v>
      </c>
      <c r="P744" s="6">
        <f>IF(O744&gt;0,1,0)</f>
        <v>0</v>
      </c>
      <c r="Q744" s="6">
        <v>0</v>
      </c>
      <c r="S744" s="6">
        <v>68.900000000000006</v>
      </c>
      <c r="T744" s="6">
        <f>IF(S744="",MEDIAN($S$2:$S$1409),S744)</f>
        <v>68.900000000000006</v>
      </c>
    </row>
    <row r="745" spans="1:20" ht="15" customHeight="1">
      <c r="A745" s="6" t="s">
        <v>780</v>
      </c>
      <c r="B745" s="7">
        <v>45689</v>
      </c>
      <c r="C745" s="6" t="s">
        <v>727</v>
      </c>
      <c r="D745" s="6" t="s">
        <v>22</v>
      </c>
      <c r="E745" s="6" t="s">
        <v>38</v>
      </c>
      <c r="F745" s="6" t="str">
        <f>IF(E745="","Unknown",E745)</f>
        <v>Tablet</v>
      </c>
      <c r="G745" s="6" t="s">
        <v>33</v>
      </c>
      <c r="H745" s="6" t="str">
        <f>IF(G745="","Unknown",G745)</f>
        <v>Paid Search</v>
      </c>
      <c r="I745" s="6" t="s">
        <v>25</v>
      </c>
      <c r="J745" s="6">
        <v>0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6">
        <f>IF(O745&gt;0,1,0)</f>
        <v>0</v>
      </c>
      <c r="Q745" s="6">
        <v>0</v>
      </c>
      <c r="S745" s="6">
        <v>66.3</v>
      </c>
      <c r="T745" s="6">
        <f>IF(S745="",MEDIAN($S$2:$S$1409),S745)</f>
        <v>66.3</v>
      </c>
    </row>
    <row r="746" spans="1:20" ht="15" customHeight="1">
      <c r="A746" s="6" t="s">
        <v>781</v>
      </c>
      <c r="B746" s="7">
        <v>45661</v>
      </c>
      <c r="C746" s="6" t="s">
        <v>727</v>
      </c>
      <c r="D746" s="6" t="s">
        <v>32</v>
      </c>
      <c r="E746" s="6" t="s">
        <v>28</v>
      </c>
      <c r="F746" s="6" t="str">
        <f>IF(E746="","Unknown",E746)</f>
        <v>Mobile</v>
      </c>
      <c r="G746" s="6" t="s">
        <v>24</v>
      </c>
      <c r="H746" s="6" t="str">
        <f>IF(G746="","Unknown",G746)</f>
        <v>Email</v>
      </c>
      <c r="I746" s="6" t="s">
        <v>30</v>
      </c>
      <c r="J746" s="6">
        <v>1</v>
      </c>
      <c r="K746" s="6">
        <v>1</v>
      </c>
      <c r="L746" s="6">
        <v>1</v>
      </c>
      <c r="M746" s="6">
        <v>0</v>
      </c>
      <c r="N746" s="6">
        <v>0</v>
      </c>
      <c r="O746" s="6">
        <v>0</v>
      </c>
      <c r="P746" s="6">
        <f>IF(O746&gt;0,1,0)</f>
        <v>0</v>
      </c>
      <c r="Q746" s="6">
        <v>0</v>
      </c>
      <c r="S746" s="6">
        <v>54.6</v>
      </c>
      <c r="T746" s="6">
        <f>IF(S746="",MEDIAN($S$2:$S$1409),S746)</f>
        <v>54.6</v>
      </c>
    </row>
    <row r="747" spans="1:20" ht="15" customHeight="1">
      <c r="A747" s="6" t="s">
        <v>782</v>
      </c>
      <c r="B747" s="7">
        <v>45793</v>
      </c>
      <c r="C747" s="6" t="s">
        <v>727</v>
      </c>
      <c r="D747" s="6" t="s">
        <v>36</v>
      </c>
      <c r="E747" s="6" t="s">
        <v>23</v>
      </c>
      <c r="F747" s="6" t="str">
        <f>IF(E747="","Unknown",E747)</f>
        <v>Desktop</v>
      </c>
      <c r="G747" s="6" t="s">
        <v>43</v>
      </c>
      <c r="H747" s="6" t="str">
        <f>IF(G747="","Unknown",G747)</f>
        <v>Referral</v>
      </c>
      <c r="I747" s="6" t="s">
        <v>30</v>
      </c>
      <c r="J747" s="6">
        <v>0</v>
      </c>
      <c r="K747" s="6">
        <v>0</v>
      </c>
      <c r="L747" s="6">
        <v>0</v>
      </c>
      <c r="M747" s="6">
        <v>0</v>
      </c>
      <c r="N747" s="6">
        <v>0</v>
      </c>
      <c r="O747" s="6">
        <v>0</v>
      </c>
      <c r="P747" s="6">
        <f>IF(O747&gt;0,1,0)</f>
        <v>0</v>
      </c>
      <c r="Q747" s="6">
        <v>0</v>
      </c>
      <c r="S747" s="6">
        <v>53.8</v>
      </c>
      <c r="T747" s="6">
        <f>IF(S747="",MEDIAN($S$2:$S$1409),S747)</f>
        <v>53.8</v>
      </c>
    </row>
    <row r="748" spans="1:20" ht="15" customHeight="1">
      <c r="A748" s="6" t="s">
        <v>783</v>
      </c>
      <c r="B748" s="7">
        <v>45716</v>
      </c>
      <c r="C748" s="6" t="s">
        <v>727</v>
      </c>
      <c r="D748" s="6" t="s">
        <v>27</v>
      </c>
      <c r="E748" s="6" t="s">
        <v>28</v>
      </c>
      <c r="F748" s="6" t="str">
        <f>IF(E748="","Unknown",E748)</f>
        <v>Mobile</v>
      </c>
      <c r="G748" s="6" t="s">
        <v>43</v>
      </c>
      <c r="H748" s="6" t="str">
        <f>IF(G748="","Unknown",G748)</f>
        <v>Referral</v>
      </c>
      <c r="I748" s="6" t="s">
        <v>30</v>
      </c>
      <c r="J748" s="6">
        <v>1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f>IF(O748&gt;0,1,0)</f>
        <v>0</v>
      </c>
      <c r="Q748" s="6">
        <v>0</v>
      </c>
      <c r="S748" s="6">
        <v>59.5</v>
      </c>
      <c r="T748" s="6">
        <f>IF(S748="",MEDIAN($S$2:$S$1409),S748)</f>
        <v>59.5</v>
      </c>
    </row>
    <row r="749" spans="1:20" ht="15" customHeight="1">
      <c r="A749" s="6" t="s">
        <v>784</v>
      </c>
      <c r="B749" s="7">
        <v>45759</v>
      </c>
      <c r="C749" s="6" t="s">
        <v>727</v>
      </c>
      <c r="D749" s="6" t="s">
        <v>22</v>
      </c>
      <c r="E749" s="6" t="s">
        <v>28</v>
      </c>
      <c r="F749" s="6" t="str">
        <f>IF(E749="","Unknown",E749)</f>
        <v>Mobile</v>
      </c>
      <c r="G749" s="6" t="s">
        <v>43</v>
      </c>
      <c r="H749" s="6" t="str">
        <f>IF(G749="","Unknown",G749)</f>
        <v>Referral</v>
      </c>
      <c r="I749" s="6" t="s">
        <v>30</v>
      </c>
      <c r="J749" s="6">
        <v>1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f>IF(O749&gt;0,1,0)</f>
        <v>0</v>
      </c>
      <c r="Q749" s="6">
        <v>0</v>
      </c>
      <c r="S749" s="6">
        <v>52.6</v>
      </c>
      <c r="T749" s="6">
        <f>IF(S749="",MEDIAN($S$2:$S$1409),S749)</f>
        <v>52.6</v>
      </c>
    </row>
    <row r="750" spans="1:20" ht="15" customHeight="1">
      <c r="A750" s="6" t="s">
        <v>785</v>
      </c>
      <c r="B750" s="7">
        <v>45739</v>
      </c>
      <c r="C750" s="6" t="s">
        <v>727</v>
      </c>
      <c r="D750" s="6" t="s">
        <v>36</v>
      </c>
      <c r="E750" s="6" t="s">
        <v>23</v>
      </c>
      <c r="F750" s="6" t="str">
        <f>IF(E750="","Unknown",E750)</f>
        <v>Desktop</v>
      </c>
      <c r="G750" s="6" t="s">
        <v>29</v>
      </c>
      <c r="H750" s="6" t="str">
        <f>IF(G750="","Unknown",G750)</f>
        <v>Organic</v>
      </c>
      <c r="I750" s="6" t="s">
        <v>30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f>IF(O750&gt;0,1,0)</f>
        <v>0</v>
      </c>
      <c r="Q750" s="6">
        <v>0</v>
      </c>
      <c r="S750" s="6">
        <v>49</v>
      </c>
      <c r="T750" s="6">
        <f>IF(S750="",MEDIAN($S$2:$S$1409),S750)</f>
        <v>49</v>
      </c>
    </row>
    <row r="751" spans="1:20" ht="15" customHeight="1">
      <c r="A751" s="6" t="s">
        <v>786</v>
      </c>
      <c r="B751" s="7">
        <v>45806</v>
      </c>
      <c r="C751" s="6" t="s">
        <v>727</v>
      </c>
      <c r="D751" s="6" t="s">
        <v>22</v>
      </c>
      <c r="E751" s="6" t="s">
        <v>38</v>
      </c>
      <c r="F751" s="6" t="str">
        <f>IF(E751="","Unknown",E751)</f>
        <v>Tablet</v>
      </c>
      <c r="G751" s="6" t="s">
        <v>29</v>
      </c>
      <c r="H751" s="6" t="str">
        <f>IF(G751="","Unknown",G751)</f>
        <v>Organic</v>
      </c>
      <c r="I751" s="6" t="s">
        <v>30</v>
      </c>
      <c r="J751" s="6">
        <v>1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f>IF(O751&gt;0,1,0)</f>
        <v>0</v>
      </c>
      <c r="Q751" s="6">
        <v>0</v>
      </c>
      <c r="S751" s="6">
        <v>59.3</v>
      </c>
      <c r="T751" s="6">
        <f>IF(S751="",MEDIAN($S$2:$S$1409),S751)</f>
        <v>59.3</v>
      </c>
    </row>
    <row r="752" spans="1:20" ht="15" customHeight="1">
      <c r="A752" s="6" t="s">
        <v>787</v>
      </c>
      <c r="B752" s="7">
        <v>45798</v>
      </c>
      <c r="C752" s="6" t="s">
        <v>727</v>
      </c>
      <c r="D752" s="6" t="s">
        <v>36</v>
      </c>
      <c r="E752" s="6" t="s">
        <v>23</v>
      </c>
      <c r="F752" s="6" t="str">
        <f>IF(E752="","Unknown",E752)</f>
        <v>Desktop</v>
      </c>
      <c r="G752" s="6" t="s">
        <v>29</v>
      </c>
      <c r="H752" s="6" t="str">
        <f>IF(G752="","Unknown",G752)</f>
        <v>Organic</v>
      </c>
      <c r="I752" s="6" t="s">
        <v>25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f>IF(O752&gt;0,1,0)</f>
        <v>0</v>
      </c>
      <c r="Q752" s="6">
        <v>0</v>
      </c>
      <c r="S752" s="6">
        <v>67.2</v>
      </c>
      <c r="T752" s="6">
        <f>IF(S752="",MEDIAN($S$2:$S$1409),S752)</f>
        <v>67.2</v>
      </c>
    </row>
    <row r="753" spans="1:20" ht="15" customHeight="1">
      <c r="A753" s="6" t="s">
        <v>788</v>
      </c>
      <c r="B753" s="7">
        <v>45662</v>
      </c>
      <c r="C753" s="6" t="s">
        <v>727</v>
      </c>
      <c r="D753" s="6" t="s">
        <v>36</v>
      </c>
      <c r="E753" s="6" t="s">
        <v>28</v>
      </c>
      <c r="F753" s="6" t="str">
        <f>IF(E753="","Unknown",E753)</f>
        <v>Mobile</v>
      </c>
      <c r="G753" s="6" t="s">
        <v>43</v>
      </c>
      <c r="H753" s="6" t="str">
        <f>IF(G753="","Unknown",G753)</f>
        <v>Referral</v>
      </c>
      <c r="I753" s="6" t="s">
        <v>34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0</v>
      </c>
      <c r="P753" s="6">
        <f>IF(O753&gt;0,1,0)</f>
        <v>0</v>
      </c>
      <c r="Q753" s="6">
        <v>0</v>
      </c>
      <c r="S753" s="6">
        <v>73.5</v>
      </c>
      <c r="T753" s="6">
        <f>IF(S753="",MEDIAN($S$2:$S$1409),S753)</f>
        <v>73.5</v>
      </c>
    </row>
    <row r="754" spans="1:20" ht="15" customHeight="1">
      <c r="A754" s="6" t="s">
        <v>789</v>
      </c>
      <c r="B754" s="7">
        <v>45735</v>
      </c>
      <c r="C754" s="6" t="s">
        <v>727</v>
      </c>
      <c r="D754" s="6" t="s">
        <v>32</v>
      </c>
      <c r="E754" s="6" t="s">
        <v>38</v>
      </c>
      <c r="F754" s="6" t="str">
        <f>IF(E754="","Unknown",E754)</f>
        <v>Tablet</v>
      </c>
      <c r="G754" s="6" t="s">
        <v>29</v>
      </c>
      <c r="H754" s="6" t="str">
        <f>IF(G754="","Unknown",G754)</f>
        <v>Organic</v>
      </c>
      <c r="I754" s="6" t="s">
        <v>30</v>
      </c>
      <c r="J754" s="6">
        <v>1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f>IF(O754&gt;0,1,0)</f>
        <v>0</v>
      </c>
      <c r="Q754" s="6">
        <v>0</v>
      </c>
      <c r="S754" s="6">
        <v>61.2</v>
      </c>
      <c r="T754" s="6">
        <f>IF(S754="",MEDIAN($S$2:$S$1409),S754)</f>
        <v>61.2</v>
      </c>
    </row>
    <row r="755" spans="1:20" ht="15" customHeight="1">
      <c r="A755" s="6" t="s">
        <v>790</v>
      </c>
      <c r="B755" s="7">
        <v>45771</v>
      </c>
      <c r="C755" s="6" t="s">
        <v>727</v>
      </c>
      <c r="D755" s="6" t="s">
        <v>32</v>
      </c>
      <c r="E755" s="6" t="s">
        <v>28</v>
      </c>
      <c r="F755" s="6" t="str">
        <f>IF(E755="","Unknown",E755)</f>
        <v>Mobile</v>
      </c>
      <c r="G755" s="6" t="s">
        <v>29</v>
      </c>
      <c r="H755" s="6" t="str">
        <f>IF(G755="","Unknown",G755)</f>
        <v>Organic</v>
      </c>
      <c r="I755" s="6" t="s">
        <v>30</v>
      </c>
      <c r="J755" s="6">
        <v>1</v>
      </c>
      <c r="K755" s="6">
        <v>0</v>
      </c>
      <c r="L755" s="6">
        <v>0</v>
      </c>
      <c r="M755" s="6">
        <v>0</v>
      </c>
      <c r="N755" s="6">
        <v>0</v>
      </c>
      <c r="O755" s="6">
        <v>1</v>
      </c>
      <c r="P755" s="6">
        <f>IF(O755&gt;0,1,0)</f>
        <v>1</v>
      </c>
      <c r="Q755" s="6">
        <v>0</v>
      </c>
      <c r="S755" s="6">
        <v>56.4</v>
      </c>
      <c r="T755" s="6">
        <f>IF(S755="",MEDIAN($S$2:$S$1409),S755)</f>
        <v>56.4</v>
      </c>
    </row>
    <row r="756" spans="1:20" ht="15" customHeight="1">
      <c r="A756" s="6" t="s">
        <v>791</v>
      </c>
      <c r="B756" s="7">
        <v>45726</v>
      </c>
      <c r="C756" s="6" t="s">
        <v>727</v>
      </c>
      <c r="D756" s="6" t="s">
        <v>22</v>
      </c>
      <c r="E756" s="6" t="s">
        <v>38</v>
      </c>
      <c r="F756" s="6" t="str">
        <f>IF(E756="","Unknown",E756)</f>
        <v>Tablet</v>
      </c>
      <c r="G756" s="6" t="s">
        <v>29</v>
      </c>
      <c r="H756" s="6" t="str">
        <f>IF(G756="","Unknown",G756)</f>
        <v>Organic</v>
      </c>
      <c r="I756" s="6" t="s">
        <v>30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3</v>
      </c>
      <c r="P756" s="6">
        <f>IF(O756&gt;0,1,0)</f>
        <v>1</v>
      </c>
      <c r="Q756" s="6">
        <v>0</v>
      </c>
      <c r="S756" s="6">
        <v>72.599999999999994</v>
      </c>
      <c r="T756" s="6">
        <f>IF(S756="",MEDIAN($S$2:$S$1409),S756)</f>
        <v>72.599999999999994</v>
      </c>
    </row>
    <row r="757" spans="1:20" ht="15" customHeight="1">
      <c r="A757" s="6" t="s">
        <v>792</v>
      </c>
      <c r="B757" s="7">
        <v>45710</v>
      </c>
      <c r="C757" s="6" t="s">
        <v>727</v>
      </c>
      <c r="D757" s="6" t="s">
        <v>36</v>
      </c>
      <c r="E757" s="6" t="s">
        <v>38</v>
      </c>
      <c r="F757" s="6" t="str">
        <f>IF(E757="","Unknown",E757)</f>
        <v>Tablet</v>
      </c>
      <c r="G757" s="6" t="s">
        <v>43</v>
      </c>
      <c r="H757" s="6" t="str">
        <f>IF(G757="","Unknown",G757)</f>
        <v>Referral</v>
      </c>
      <c r="I757" s="6" t="s">
        <v>25</v>
      </c>
      <c r="J757" s="6">
        <v>1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>
        <f>IF(O757&gt;0,1,0)</f>
        <v>0</v>
      </c>
      <c r="Q757" s="6">
        <v>0</v>
      </c>
      <c r="S757" s="6">
        <v>61.7</v>
      </c>
      <c r="T757" s="6">
        <f>IF(S757="",MEDIAN($S$2:$S$1409),S757)</f>
        <v>61.7</v>
      </c>
    </row>
    <row r="758" spans="1:20" ht="15" customHeight="1">
      <c r="A758" s="6" t="s">
        <v>793</v>
      </c>
      <c r="B758" s="7">
        <v>45794</v>
      </c>
      <c r="C758" s="6" t="s">
        <v>727</v>
      </c>
      <c r="D758" s="6" t="s">
        <v>32</v>
      </c>
      <c r="E758" s="6" t="s">
        <v>28</v>
      </c>
      <c r="F758" s="6" t="str">
        <f>IF(E758="","Unknown",E758)</f>
        <v>Mobile</v>
      </c>
      <c r="G758" s="6" t="s">
        <v>45</v>
      </c>
      <c r="H758" s="6" t="str">
        <f>IF(G758="","Unknown",G758)</f>
        <v>Social</v>
      </c>
      <c r="I758" s="6" t="s">
        <v>30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1</v>
      </c>
      <c r="P758" s="6">
        <f>IF(O758&gt;0,1,0)</f>
        <v>1</v>
      </c>
      <c r="Q758" s="6">
        <v>0</v>
      </c>
      <c r="S758" s="6">
        <v>66.900000000000006</v>
      </c>
      <c r="T758" s="6">
        <f>IF(S758="",MEDIAN($S$2:$S$1409),S758)</f>
        <v>66.900000000000006</v>
      </c>
    </row>
    <row r="759" spans="1:20" ht="15" customHeight="1">
      <c r="A759" s="6" t="s">
        <v>794</v>
      </c>
      <c r="B759" s="7">
        <v>45786</v>
      </c>
      <c r="C759" s="6" t="s">
        <v>727</v>
      </c>
      <c r="D759" s="6" t="s">
        <v>32</v>
      </c>
      <c r="E759" s="6" t="s">
        <v>38</v>
      </c>
      <c r="F759" s="6" t="str">
        <f>IF(E759="","Unknown",E759)</f>
        <v>Tablet</v>
      </c>
      <c r="G759" s="6" t="s">
        <v>43</v>
      </c>
      <c r="H759" s="6" t="str">
        <f>IF(G759="","Unknown",G759)</f>
        <v>Referral</v>
      </c>
      <c r="I759" s="6" t="s">
        <v>34</v>
      </c>
      <c r="J759" s="6">
        <v>1</v>
      </c>
      <c r="K759" s="6">
        <v>1</v>
      </c>
      <c r="L759" s="6">
        <v>1</v>
      </c>
      <c r="M759" s="6">
        <v>1</v>
      </c>
      <c r="N759" s="6">
        <v>1506.24</v>
      </c>
      <c r="O759" s="6">
        <v>1</v>
      </c>
      <c r="P759" s="6">
        <f>IF(O759&gt;0,1,0)</f>
        <v>1</v>
      </c>
      <c r="Q759" s="6">
        <v>0</v>
      </c>
      <c r="R759" s="6">
        <v>7</v>
      </c>
      <c r="S759" s="6">
        <v>64.900000000000006</v>
      </c>
      <c r="T759" s="6">
        <f>IF(S759="",MEDIAN($S$2:$S$1409),S759)</f>
        <v>64.900000000000006</v>
      </c>
    </row>
    <row r="760" spans="1:20" ht="15" customHeight="1">
      <c r="A760" s="6" t="s">
        <v>795</v>
      </c>
      <c r="B760" s="7">
        <v>45773</v>
      </c>
      <c r="C760" s="6" t="s">
        <v>727</v>
      </c>
      <c r="D760" s="6" t="s">
        <v>32</v>
      </c>
      <c r="E760" s="6" t="s">
        <v>38</v>
      </c>
      <c r="F760" s="6" t="str">
        <f>IF(E760="","Unknown",E760)</f>
        <v>Tablet</v>
      </c>
      <c r="G760" s="6" t="s">
        <v>29</v>
      </c>
      <c r="H760" s="6" t="str">
        <f>IF(G760="","Unknown",G760)</f>
        <v>Organic</v>
      </c>
      <c r="I760" s="6" t="s">
        <v>34</v>
      </c>
      <c r="J760" s="6">
        <v>1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f>IF(O760&gt;0,1,0)</f>
        <v>0</v>
      </c>
      <c r="Q760" s="6">
        <v>0</v>
      </c>
      <c r="S760" s="6">
        <v>57.5</v>
      </c>
      <c r="T760" s="6">
        <f>IF(S760="",MEDIAN($S$2:$S$1409),S760)</f>
        <v>57.5</v>
      </c>
    </row>
    <row r="761" spans="1:20" ht="15" customHeight="1">
      <c r="A761" s="6" t="s">
        <v>796</v>
      </c>
      <c r="B761" s="7">
        <v>45731</v>
      </c>
      <c r="C761" s="6" t="s">
        <v>727</v>
      </c>
      <c r="D761" s="6" t="s">
        <v>27</v>
      </c>
      <c r="E761" s="6" t="s">
        <v>23</v>
      </c>
      <c r="F761" s="6" t="str">
        <f>IF(E761="","Unknown",E761)</f>
        <v>Desktop</v>
      </c>
      <c r="G761" s="6" t="s">
        <v>45</v>
      </c>
      <c r="H761" s="6" t="str">
        <f>IF(G761="","Unknown",G761)</f>
        <v>Social</v>
      </c>
      <c r="I761" s="6" t="s">
        <v>30</v>
      </c>
      <c r="J761" s="6">
        <v>1</v>
      </c>
      <c r="K761" s="6">
        <v>1</v>
      </c>
      <c r="L761" s="6">
        <v>1</v>
      </c>
      <c r="M761" s="6">
        <v>0</v>
      </c>
      <c r="N761" s="6">
        <v>0</v>
      </c>
      <c r="O761" s="6">
        <v>0</v>
      </c>
      <c r="P761" s="6">
        <f>IF(O761&gt;0,1,0)</f>
        <v>0</v>
      </c>
      <c r="Q761" s="6">
        <v>0</v>
      </c>
      <c r="S761" s="6">
        <v>76.3</v>
      </c>
      <c r="T761" s="6">
        <f>IF(S761="",MEDIAN($S$2:$S$1409),S761)</f>
        <v>76.3</v>
      </c>
    </row>
    <row r="762" spans="1:20" ht="15" customHeight="1">
      <c r="A762" s="6" t="s">
        <v>797</v>
      </c>
      <c r="B762" s="7">
        <v>45750</v>
      </c>
      <c r="C762" s="6" t="s">
        <v>727</v>
      </c>
      <c r="D762" s="6" t="s">
        <v>22</v>
      </c>
      <c r="E762" s="6" t="s">
        <v>28</v>
      </c>
      <c r="F762" s="6" t="str">
        <f>IF(E762="","Unknown",E762)</f>
        <v>Mobile</v>
      </c>
      <c r="G762" s="6" t="s">
        <v>33</v>
      </c>
      <c r="H762" s="6" t="str">
        <f>IF(G762="","Unknown",G762)</f>
        <v>Paid Search</v>
      </c>
      <c r="I762" s="6" t="s">
        <v>30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f>IF(O762&gt;0,1,0)</f>
        <v>0</v>
      </c>
      <c r="Q762" s="6">
        <v>0</v>
      </c>
      <c r="S762" s="6">
        <v>47.5</v>
      </c>
      <c r="T762" s="6">
        <f>IF(S762="",MEDIAN($S$2:$S$1409),S762)</f>
        <v>47.5</v>
      </c>
    </row>
    <row r="763" spans="1:20" ht="15" customHeight="1">
      <c r="A763" s="6" t="s">
        <v>798</v>
      </c>
      <c r="B763" s="7">
        <v>45742</v>
      </c>
      <c r="C763" s="6" t="s">
        <v>727</v>
      </c>
      <c r="D763" s="6" t="s">
        <v>36</v>
      </c>
      <c r="E763" s="6" t="s">
        <v>28</v>
      </c>
      <c r="F763" s="6" t="str">
        <f>IF(E763="","Unknown",E763)</f>
        <v>Mobile</v>
      </c>
      <c r="G763" s="6" t="s">
        <v>33</v>
      </c>
      <c r="H763" s="6" t="str">
        <f>IF(G763="","Unknown",G763)</f>
        <v>Paid Search</v>
      </c>
      <c r="I763" s="6" t="s">
        <v>30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f>IF(O763&gt;0,1,0)</f>
        <v>0</v>
      </c>
      <c r="Q763" s="6">
        <v>0</v>
      </c>
      <c r="S763" s="6"/>
      <c r="T763" s="6">
        <f>IF(S763="",MEDIAN($S$2:$S$1409),S763)</f>
        <v>59.9</v>
      </c>
    </row>
    <row r="764" spans="1:20" ht="15" customHeight="1">
      <c r="A764" s="6" t="s">
        <v>799</v>
      </c>
      <c r="B764" s="7">
        <v>45693</v>
      </c>
      <c r="C764" s="6" t="s">
        <v>727</v>
      </c>
      <c r="D764" s="6" t="s">
        <v>27</v>
      </c>
      <c r="E764" s="6" t="s">
        <v>23</v>
      </c>
      <c r="F764" s="6" t="str">
        <f>IF(E764="","Unknown",E764)</f>
        <v>Desktop</v>
      </c>
      <c r="G764" s="6" t="s">
        <v>29</v>
      </c>
      <c r="H764" s="6" t="str">
        <f>IF(G764="","Unknown",G764)</f>
        <v>Organic</v>
      </c>
      <c r="I764" s="6" t="s">
        <v>25</v>
      </c>
      <c r="J764" s="6">
        <v>1</v>
      </c>
      <c r="K764" s="6">
        <v>1</v>
      </c>
      <c r="L764" s="6">
        <v>0</v>
      </c>
      <c r="M764" s="6">
        <v>0</v>
      </c>
      <c r="N764" s="6">
        <v>0</v>
      </c>
      <c r="O764" s="6">
        <v>2</v>
      </c>
      <c r="P764" s="6">
        <f>IF(O764&gt;0,1,0)</f>
        <v>1</v>
      </c>
      <c r="Q764" s="6">
        <v>0</v>
      </c>
      <c r="S764" s="6">
        <v>71.599999999999994</v>
      </c>
      <c r="T764" s="6">
        <f>IF(S764="",MEDIAN($S$2:$S$1409),S764)</f>
        <v>71.599999999999994</v>
      </c>
    </row>
    <row r="765" spans="1:20" ht="15" customHeight="1">
      <c r="A765" s="6" t="s">
        <v>800</v>
      </c>
      <c r="B765" s="7">
        <v>45785</v>
      </c>
      <c r="C765" s="6" t="s">
        <v>727</v>
      </c>
      <c r="D765" s="6" t="s">
        <v>36</v>
      </c>
      <c r="E765" s="6" t="s">
        <v>28</v>
      </c>
      <c r="F765" s="6" t="str">
        <f>IF(E765="","Unknown",E765)</f>
        <v>Mobile</v>
      </c>
      <c r="G765" s="6" t="s">
        <v>45</v>
      </c>
      <c r="H765" s="6" t="str">
        <f>IF(G765="","Unknown",G765)</f>
        <v>Social</v>
      </c>
      <c r="I765" s="6" t="s">
        <v>25</v>
      </c>
      <c r="J765" s="6">
        <v>1</v>
      </c>
      <c r="K765" s="6">
        <v>1</v>
      </c>
      <c r="L765" s="6">
        <v>0</v>
      </c>
      <c r="M765" s="6">
        <v>0</v>
      </c>
      <c r="N765" s="6">
        <v>0</v>
      </c>
      <c r="O765" s="6">
        <v>0</v>
      </c>
      <c r="P765" s="6">
        <f>IF(O765&gt;0,1,0)</f>
        <v>0</v>
      </c>
      <c r="Q765" s="6">
        <v>0</v>
      </c>
      <c r="S765" s="6">
        <v>55.8</v>
      </c>
      <c r="T765" s="6">
        <f>IF(S765="",MEDIAN($S$2:$S$1409),S765)</f>
        <v>55.8</v>
      </c>
    </row>
    <row r="766" spans="1:20" ht="15" customHeight="1">
      <c r="A766" s="6" t="s">
        <v>801</v>
      </c>
      <c r="B766" s="7">
        <v>45741</v>
      </c>
      <c r="C766" s="6" t="s">
        <v>727</v>
      </c>
      <c r="D766" s="6" t="s">
        <v>36</v>
      </c>
      <c r="E766" s="6" t="s">
        <v>23</v>
      </c>
      <c r="F766" s="6" t="str">
        <f>IF(E766="","Unknown",E766)</f>
        <v>Desktop</v>
      </c>
      <c r="G766" s="6" t="s">
        <v>29</v>
      </c>
      <c r="H766" s="6" t="str">
        <f>IF(G766="","Unknown",G766)</f>
        <v>Organic</v>
      </c>
      <c r="I766" s="6" t="s">
        <v>25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1</v>
      </c>
      <c r="P766" s="6">
        <f>IF(O766&gt;0,1,0)</f>
        <v>1</v>
      </c>
      <c r="Q766" s="6">
        <v>0</v>
      </c>
      <c r="S766" s="6">
        <v>60.1</v>
      </c>
      <c r="T766" s="6">
        <f>IF(S766="",MEDIAN($S$2:$S$1409),S766)</f>
        <v>60.1</v>
      </c>
    </row>
    <row r="767" spans="1:20" ht="15" customHeight="1">
      <c r="A767" s="6" t="s">
        <v>802</v>
      </c>
      <c r="B767" s="7">
        <v>45671</v>
      </c>
      <c r="C767" s="6" t="s">
        <v>727</v>
      </c>
      <c r="D767" s="6" t="s">
        <v>27</v>
      </c>
      <c r="E767" s="6"/>
      <c r="F767" s="6" t="str">
        <f>IF(E767="","Unknown",E767)</f>
        <v>Unknown</v>
      </c>
      <c r="G767" s="6" t="s">
        <v>24</v>
      </c>
      <c r="H767" s="6" t="str">
        <f>IF(G767="","Unknown",G767)</f>
        <v>Email</v>
      </c>
      <c r="I767" s="6" t="s">
        <v>25</v>
      </c>
      <c r="J767" s="6">
        <v>1</v>
      </c>
      <c r="K767" s="6">
        <v>1</v>
      </c>
      <c r="L767" s="6">
        <v>1</v>
      </c>
      <c r="M767" s="6">
        <v>0</v>
      </c>
      <c r="N767" s="6">
        <v>0</v>
      </c>
      <c r="O767" s="6">
        <v>1</v>
      </c>
      <c r="P767" s="6">
        <f>IF(O767&gt;0,1,0)</f>
        <v>1</v>
      </c>
      <c r="Q767" s="6">
        <v>0</v>
      </c>
      <c r="S767" s="6">
        <v>59.3</v>
      </c>
      <c r="T767" s="6">
        <f>IF(S767="",MEDIAN($S$2:$S$1409),S767)</f>
        <v>59.3</v>
      </c>
    </row>
    <row r="768" spans="1:20" ht="15" customHeight="1">
      <c r="A768" s="6" t="s">
        <v>803</v>
      </c>
      <c r="B768" s="7">
        <v>45742</v>
      </c>
      <c r="C768" s="6" t="s">
        <v>727</v>
      </c>
      <c r="D768" s="6" t="s">
        <v>22</v>
      </c>
      <c r="E768" s="6" t="s">
        <v>28</v>
      </c>
      <c r="F768" s="6" t="str">
        <f>IF(E768="","Unknown",E768)</f>
        <v>Mobile</v>
      </c>
      <c r="G768" s="6" t="s">
        <v>29</v>
      </c>
      <c r="H768" s="6" t="str">
        <f>IF(G768="","Unknown",G768)</f>
        <v>Organic</v>
      </c>
      <c r="I768" s="6" t="s">
        <v>30</v>
      </c>
      <c r="J768" s="6">
        <v>1</v>
      </c>
      <c r="K768" s="6">
        <v>1</v>
      </c>
      <c r="L768" s="6">
        <v>0</v>
      </c>
      <c r="M768" s="6">
        <v>0</v>
      </c>
      <c r="N768" s="6">
        <v>0</v>
      </c>
      <c r="O768" s="6">
        <v>2</v>
      </c>
      <c r="P768" s="6">
        <f>IF(O768&gt;0,1,0)</f>
        <v>1</v>
      </c>
      <c r="Q768" s="6">
        <v>0</v>
      </c>
      <c r="S768" s="6">
        <v>49.3</v>
      </c>
      <c r="T768" s="6">
        <f>IF(S768="",MEDIAN($S$2:$S$1409),S768)</f>
        <v>49.3</v>
      </c>
    </row>
    <row r="769" spans="1:20" ht="15" customHeight="1">
      <c r="A769" s="6" t="s">
        <v>804</v>
      </c>
      <c r="B769" s="7">
        <v>45673</v>
      </c>
      <c r="C769" s="6" t="s">
        <v>727</v>
      </c>
      <c r="D769" s="6" t="s">
        <v>32</v>
      </c>
      <c r="E769" s="6" t="s">
        <v>28</v>
      </c>
      <c r="F769" s="6" t="str">
        <f>IF(E769="","Unknown",E769)</f>
        <v>Mobile</v>
      </c>
      <c r="G769" s="6" t="s">
        <v>43</v>
      </c>
      <c r="H769" s="6" t="str">
        <f>IF(G769="","Unknown",G769)</f>
        <v>Referral</v>
      </c>
      <c r="I769" s="6" t="s">
        <v>30</v>
      </c>
      <c r="J769" s="6">
        <v>1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  <c r="P769" s="6">
        <f>IF(O769&gt;0,1,0)</f>
        <v>0</v>
      </c>
      <c r="Q769" s="6">
        <v>0</v>
      </c>
      <c r="S769" s="6">
        <v>75</v>
      </c>
      <c r="T769" s="6">
        <f>IF(S769="",MEDIAN($S$2:$S$1409),S769)</f>
        <v>75</v>
      </c>
    </row>
    <row r="770" spans="1:20" ht="15" customHeight="1">
      <c r="A770" s="6" t="s">
        <v>805</v>
      </c>
      <c r="B770" s="7">
        <v>45661</v>
      </c>
      <c r="C770" s="6" t="s">
        <v>727</v>
      </c>
      <c r="D770" s="6" t="s">
        <v>32</v>
      </c>
      <c r="E770" s="6" t="s">
        <v>28</v>
      </c>
      <c r="F770" s="6" t="str">
        <f>IF(E770="","Unknown",E770)</f>
        <v>Mobile</v>
      </c>
      <c r="G770" s="6" t="s">
        <v>45</v>
      </c>
      <c r="H770" s="6" t="str">
        <f>IF(G770="","Unknown",G770)</f>
        <v>Social</v>
      </c>
      <c r="I770" s="6" t="s">
        <v>30</v>
      </c>
      <c r="J770" s="6">
        <v>1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f>IF(O770&gt;0,1,0)</f>
        <v>0</v>
      </c>
      <c r="Q770" s="6">
        <v>0</v>
      </c>
      <c r="S770" s="6">
        <v>70.2</v>
      </c>
      <c r="T770" s="6">
        <f>IF(S770="",MEDIAN($S$2:$S$1409),S770)</f>
        <v>70.2</v>
      </c>
    </row>
    <row r="771" spans="1:20" ht="15" customHeight="1">
      <c r="A771" s="6" t="s">
        <v>806</v>
      </c>
      <c r="B771" s="7">
        <v>45697</v>
      </c>
      <c r="C771" s="6" t="s">
        <v>727</v>
      </c>
      <c r="D771" s="6" t="s">
        <v>36</v>
      </c>
      <c r="E771" s="6" t="s">
        <v>23</v>
      </c>
      <c r="F771" s="6" t="str">
        <f>IF(E771="","Unknown",E771)</f>
        <v>Desktop</v>
      </c>
      <c r="G771" s="6" t="s">
        <v>29</v>
      </c>
      <c r="H771" s="6" t="str">
        <f>IF(G771="","Unknown",G771)</f>
        <v>Organic</v>
      </c>
      <c r="I771" s="6" t="s">
        <v>34</v>
      </c>
      <c r="J771" s="6">
        <v>1</v>
      </c>
      <c r="K771" s="6">
        <v>1</v>
      </c>
      <c r="L771" s="6">
        <v>1</v>
      </c>
      <c r="M771" s="6">
        <v>0</v>
      </c>
      <c r="N771" s="6">
        <v>0</v>
      </c>
      <c r="O771" s="6">
        <v>0</v>
      </c>
      <c r="P771" s="6">
        <f>IF(O771&gt;0,1,0)</f>
        <v>0</v>
      </c>
      <c r="Q771" s="6">
        <v>0</v>
      </c>
      <c r="S771" s="6">
        <v>56.6</v>
      </c>
      <c r="T771" s="6">
        <f>IF(S771="",MEDIAN($S$2:$S$1409),S771)</f>
        <v>56.6</v>
      </c>
    </row>
    <row r="772" spans="1:20" ht="15" customHeight="1">
      <c r="A772" s="6" t="s">
        <v>807</v>
      </c>
      <c r="B772" s="7">
        <v>45721</v>
      </c>
      <c r="C772" s="6" t="s">
        <v>727</v>
      </c>
      <c r="D772" s="6" t="s">
        <v>32</v>
      </c>
      <c r="E772" s="6" t="s">
        <v>23</v>
      </c>
      <c r="F772" s="6" t="str">
        <f>IF(E772="","Unknown",E772)</f>
        <v>Desktop</v>
      </c>
      <c r="G772" s="6" t="s">
        <v>29</v>
      </c>
      <c r="H772" s="6" t="str">
        <f>IF(G772="","Unknown",G772)</f>
        <v>Organic</v>
      </c>
      <c r="I772" s="6" t="s">
        <v>30</v>
      </c>
      <c r="J772" s="6">
        <v>1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f>IF(O772&gt;0,1,0)</f>
        <v>0</v>
      </c>
      <c r="Q772" s="6">
        <v>0</v>
      </c>
      <c r="S772" s="6">
        <v>65.400000000000006</v>
      </c>
      <c r="T772" s="6">
        <f>IF(S772="",MEDIAN($S$2:$S$1409),S772)</f>
        <v>65.400000000000006</v>
      </c>
    </row>
    <row r="773" spans="1:20" ht="15" customHeight="1">
      <c r="A773" s="6" t="s">
        <v>808</v>
      </c>
      <c r="B773" s="7">
        <v>45726</v>
      </c>
      <c r="C773" s="6" t="s">
        <v>727</v>
      </c>
      <c r="D773" s="6" t="s">
        <v>32</v>
      </c>
      <c r="E773" s="6" t="s">
        <v>28</v>
      </c>
      <c r="F773" s="6" t="str">
        <f>IF(E773="","Unknown",E773)</f>
        <v>Mobile</v>
      </c>
      <c r="G773" s="6" t="s">
        <v>43</v>
      </c>
      <c r="H773" s="6" t="str">
        <f>IF(G773="","Unknown",G773)</f>
        <v>Referral</v>
      </c>
      <c r="I773" s="6" t="s">
        <v>25</v>
      </c>
      <c r="J773" s="6">
        <v>1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f>IF(O773&gt;0,1,0)</f>
        <v>0</v>
      </c>
      <c r="Q773" s="6">
        <v>0</v>
      </c>
      <c r="S773" s="6">
        <v>47.6</v>
      </c>
      <c r="T773" s="6">
        <f>IF(S773="",MEDIAN($S$2:$S$1409),S773)</f>
        <v>47.6</v>
      </c>
    </row>
    <row r="774" spans="1:20" ht="15" customHeight="1">
      <c r="A774" s="6" t="s">
        <v>809</v>
      </c>
      <c r="B774" s="7">
        <v>45715</v>
      </c>
      <c r="C774" s="6" t="s">
        <v>727</v>
      </c>
      <c r="D774" s="6" t="s">
        <v>32</v>
      </c>
      <c r="E774" s="6" t="s">
        <v>23</v>
      </c>
      <c r="F774" s="6" t="str">
        <f>IF(E774="","Unknown",E774)</f>
        <v>Desktop</v>
      </c>
      <c r="G774" s="6" t="s">
        <v>33</v>
      </c>
      <c r="H774" s="6" t="str">
        <f>IF(G774="","Unknown",G774)</f>
        <v>Paid Search</v>
      </c>
      <c r="I774" s="6" t="s">
        <v>30</v>
      </c>
      <c r="J774" s="6">
        <v>1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f>IF(O774&gt;0,1,0)</f>
        <v>0</v>
      </c>
      <c r="Q774" s="6">
        <v>0</v>
      </c>
      <c r="S774" s="6">
        <v>56.7</v>
      </c>
      <c r="T774" s="6">
        <f>IF(S774="",MEDIAN($S$2:$S$1409),S774)</f>
        <v>56.7</v>
      </c>
    </row>
    <row r="775" spans="1:20" ht="15" customHeight="1">
      <c r="A775" s="6" t="s">
        <v>810</v>
      </c>
      <c r="B775" s="7">
        <v>45726</v>
      </c>
      <c r="C775" s="6" t="s">
        <v>727</v>
      </c>
      <c r="D775" s="6" t="s">
        <v>22</v>
      </c>
      <c r="E775" s="6" t="s">
        <v>23</v>
      </c>
      <c r="F775" s="6" t="str">
        <f>IF(E775="","Unknown",E775)</f>
        <v>Desktop</v>
      </c>
      <c r="G775" s="6" t="s">
        <v>43</v>
      </c>
      <c r="H775" s="6" t="str">
        <f>IF(G775="","Unknown",G775)</f>
        <v>Referral</v>
      </c>
      <c r="I775" s="6" t="s">
        <v>25</v>
      </c>
      <c r="J775" s="6">
        <v>1</v>
      </c>
      <c r="K775" s="6">
        <v>1</v>
      </c>
      <c r="L775" s="6">
        <v>0</v>
      </c>
      <c r="M775" s="6">
        <v>0</v>
      </c>
      <c r="N775" s="6">
        <v>0</v>
      </c>
      <c r="O775" s="6">
        <v>0</v>
      </c>
      <c r="P775" s="6">
        <f>IF(O775&gt;0,1,0)</f>
        <v>0</v>
      </c>
      <c r="Q775" s="6">
        <v>0</v>
      </c>
      <c r="S775" s="6">
        <v>71.400000000000006</v>
      </c>
      <c r="T775" s="6">
        <f>IF(S775="",MEDIAN($S$2:$S$1409),S775)</f>
        <v>71.400000000000006</v>
      </c>
    </row>
    <row r="776" spans="1:20" ht="15" customHeight="1">
      <c r="A776" s="6" t="s">
        <v>811</v>
      </c>
      <c r="B776" s="7">
        <v>45770</v>
      </c>
      <c r="C776" s="6" t="s">
        <v>727</v>
      </c>
      <c r="D776" s="6" t="s">
        <v>27</v>
      </c>
      <c r="E776" s="6" t="s">
        <v>28</v>
      </c>
      <c r="F776" s="6" t="str">
        <f>IF(E776="","Unknown",E776)</f>
        <v>Mobile</v>
      </c>
      <c r="G776" s="6" t="s">
        <v>45</v>
      </c>
      <c r="H776" s="6" t="str">
        <f>IF(G776="","Unknown",G776)</f>
        <v>Social</v>
      </c>
      <c r="I776" s="6" t="s">
        <v>30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2</v>
      </c>
      <c r="P776" s="6">
        <f>IF(O776&gt;0,1,0)</f>
        <v>1</v>
      </c>
      <c r="Q776" s="6">
        <v>0</v>
      </c>
      <c r="S776" s="6">
        <v>60.5</v>
      </c>
      <c r="T776" s="6">
        <f>IF(S776="",MEDIAN($S$2:$S$1409),S776)</f>
        <v>60.5</v>
      </c>
    </row>
    <row r="777" spans="1:20" ht="15" customHeight="1">
      <c r="A777" s="6" t="s">
        <v>812</v>
      </c>
      <c r="B777" s="7">
        <v>45759</v>
      </c>
      <c r="C777" s="6" t="s">
        <v>727</v>
      </c>
      <c r="D777" s="6" t="s">
        <v>22</v>
      </c>
      <c r="E777" s="6" t="s">
        <v>23</v>
      </c>
      <c r="F777" s="6" t="str">
        <f>IF(E777="","Unknown",E777)</f>
        <v>Desktop</v>
      </c>
      <c r="G777" s="6" t="s">
        <v>33</v>
      </c>
      <c r="H777" s="6" t="str">
        <f>IF(G777="","Unknown",G777)</f>
        <v>Paid Search</v>
      </c>
      <c r="I777" s="6" t="s">
        <v>30</v>
      </c>
      <c r="J777" s="6">
        <v>1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>
        <f>IF(O777&gt;0,1,0)</f>
        <v>0</v>
      </c>
      <c r="Q777" s="6">
        <v>0</v>
      </c>
      <c r="S777" s="6">
        <v>46.7</v>
      </c>
      <c r="T777" s="6">
        <f>IF(S777="",MEDIAN($S$2:$S$1409),S777)</f>
        <v>46.7</v>
      </c>
    </row>
    <row r="778" spans="1:20" ht="15" customHeight="1">
      <c r="A778" s="6" t="s">
        <v>813</v>
      </c>
      <c r="B778" s="7">
        <v>45683</v>
      </c>
      <c r="C778" s="6" t="s">
        <v>727</v>
      </c>
      <c r="D778" s="6" t="s">
        <v>32</v>
      </c>
      <c r="E778" s="6" t="s">
        <v>23</v>
      </c>
      <c r="F778" s="6" t="str">
        <f>IF(E778="","Unknown",E778)</f>
        <v>Desktop</v>
      </c>
      <c r="G778" s="6" t="s">
        <v>43</v>
      </c>
      <c r="H778" s="6" t="str">
        <f>IF(G778="","Unknown",G778)</f>
        <v>Referral</v>
      </c>
      <c r="I778" s="6" t="s">
        <v>30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f>IF(O778&gt;0,1,0)</f>
        <v>0</v>
      </c>
      <c r="Q778" s="6">
        <v>0</v>
      </c>
      <c r="S778" s="6">
        <v>61</v>
      </c>
      <c r="T778" s="6">
        <f>IF(S778="",MEDIAN($S$2:$S$1409),S778)</f>
        <v>61</v>
      </c>
    </row>
    <row r="779" spans="1:20" ht="15" customHeight="1">
      <c r="A779" s="6" t="s">
        <v>814</v>
      </c>
      <c r="B779" s="7">
        <v>45801</v>
      </c>
      <c r="C779" s="6" t="s">
        <v>727</v>
      </c>
      <c r="D779" s="6" t="s">
        <v>27</v>
      </c>
      <c r="E779" s="6" t="s">
        <v>38</v>
      </c>
      <c r="F779" s="6" t="str">
        <f>IF(E779="","Unknown",E779)</f>
        <v>Tablet</v>
      </c>
      <c r="G779" s="6" t="s">
        <v>33</v>
      </c>
      <c r="H779" s="6" t="str">
        <f>IF(G779="","Unknown",G779)</f>
        <v>Paid Search</v>
      </c>
      <c r="I779" s="6" t="s">
        <v>30</v>
      </c>
      <c r="J779" s="6">
        <v>0</v>
      </c>
      <c r="K779" s="6">
        <v>0</v>
      </c>
      <c r="L779" s="6">
        <v>0</v>
      </c>
      <c r="M779" s="6">
        <v>0</v>
      </c>
      <c r="N779" s="6">
        <v>0</v>
      </c>
      <c r="O779" s="6">
        <v>0</v>
      </c>
      <c r="P779" s="6">
        <f>IF(O779&gt;0,1,0)</f>
        <v>0</v>
      </c>
      <c r="Q779" s="6">
        <v>0</v>
      </c>
      <c r="S779" s="6">
        <v>60.9</v>
      </c>
      <c r="T779" s="6">
        <f>IF(S779="",MEDIAN($S$2:$S$1409),S779)</f>
        <v>60.9</v>
      </c>
    </row>
    <row r="780" spans="1:20" ht="15" customHeight="1">
      <c r="A780" s="6" t="s">
        <v>815</v>
      </c>
      <c r="B780" s="7">
        <v>45665</v>
      </c>
      <c r="C780" s="6" t="s">
        <v>727</v>
      </c>
      <c r="D780" s="6" t="s">
        <v>36</v>
      </c>
      <c r="E780" s="6" t="s">
        <v>28</v>
      </c>
      <c r="F780" s="6" t="str">
        <f>IF(E780="","Unknown",E780)</f>
        <v>Mobile</v>
      </c>
      <c r="G780" s="6" t="s">
        <v>29</v>
      </c>
      <c r="H780" s="6" t="str">
        <f>IF(G780="","Unknown",G780)</f>
        <v>Organic</v>
      </c>
      <c r="I780" s="6" t="s">
        <v>30</v>
      </c>
      <c r="J780" s="6">
        <v>1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f>IF(O780&gt;0,1,0)</f>
        <v>0</v>
      </c>
      <c r="Q780" s="6">
        <v>0</v>
      </c>
      <c r="S780" s="6">
        <v>67.099999999999994</v>
      </c>
      <c r="T780" s="6">
        <f>IF(S780="",MEDIAN($S$2:$S$1409),S780)</f>
        <v>67.099999999999994</v>
      </c>
    </row>
    <row r="781" spans="1:20" ht="15" customHeight="1">
      <c r="A781" s="6" t="s">
        <v>816</v>
      </c>
      <c r="B781" s="7">
        <v>45762</v>
      </c>
      <c r="C781" s="6" t="s">
        <v>727</v>
      </c>
      <c r="D781" s="6" t="s">
        <v>22</v>
      </c>
      <c r="E781" s="6" t="s">
        <v>28</v>
      </c>
      <c r="F781" s="6" t="str">
        <f>IF(E781="","Unknown",E781)</f>
        <v>Mobile</v>
      </c>
      <c r="G781" s="6" t="s">
        <v>43</v>
      </c>
      <c r="H781" s="6" t="str">
        <f>IF(G781="","Unknown",G781)</f>
        <v>Referral</v>
      </c>
      <c r="I781" s="6" t="s">
        <v>30</v>
      </c>
      <c r="J781" s="6">
        <v>1</v>
      </c>
      <c r="K781" s="6">
        <v>1</v>
      </c>
      <c r="L781" s="6">
        <v>0</v>
      </c>
      <c r="M781" s="6">
        <v>0</v>
      </c>
      <c r="N781" s="6">
        <v>0</v>
      </c>
      <c r="O781" s="6">
        <v>0</v>
      </c>
      <c r="P781" s="6">
        <f>IF(O781&gt;0,1,0)</f>
        <v>0</v>
      </c>
      <c r="Q781" s="6">
        <v>0</v>
      </c>
      <c r="S781" s="6">
        <v>59.6</v>
      </c>
      <c r="T781" s="6">
        <f>IF(S781="",MEDIAN($S$2:$S$1409),S781)</f>
        <v>59.6</v>
      </c>
    </row>
    <row r="782" spans="1:20" ht="15" customHeight="1">
      <c r="A782" s="6" t="s">
        <v>817</v>
      </c>
      <c r="B782" s="7">
        <v>45672</v>
      </c>
      <c r="C782" s="6" t="s">
        <v>727</v>
      </c>
      <c r="D782" s="6" t="s">
        <v>36</v>
      </c>
      <c r="E782" s="6" t="s">
        <v>23</v>
      </c>
      <c r="F782" s="6" t="str">
        <f>IF(E782="","Unknown",E782)</f>
        <v>Desktop</v>
      </c>
      <c r="G782" s="6" t="s">
        <v>33</v>
      </c>
      <c r="H782" s="6" t="str">
        <f>IF(G782="","Unknown",G782)</f>
        <v>Paid Search</v>
      </c>
      <c r="I782" s="6" t="s">
        <v>30</v>
      </c>
      <c r="J782" s="6">
        <v>1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f>IF(O782&gt;0,1,0)</f>
        <v>0</v>
      </c>
      <c r="Q782" s="6">
        <v>0</v>
      </c>
      <c r="S782" s="6">
        <v>83.8</v>
      </c>
      <c r="T782" s="6">
        <f>IF(S782="",MEDIAN($S$2:$S$1409),S782)</f>
        <v>83.8</v>
      </c>
    </row>
    <row r="783" spans="1:20" ht="15" customHeight="1">
      <c r="A783" s="6" t="s">
        <v>818</v>
      </c>
      <c r="B783" s="7">
        <v>45716</v>
      </c>
      <c r="C783" s="6" t="s">
        <v>727</v>
      </c>
      <c r="D783" s="6" t="s">
        <v>22</v>
      </c>
      <c r="E783" s="6" t="s">
        <v>28</v>
      </c>
      <c r="F783" s="6" t="str">
        <f>IF(E783="","Unknown",E783)</f>
        <v>Mobile</v>
      </c>
      <c r="G783" s="6" t="s">
        <v>29</v>
      </c>
      <c r="H783" s="6" t="str">
        <f>IF(G783="","Unknown",G783)</f>
        <v>Organic</v>
      </c>
      <c r="I783" s="6" t="s">
        <v>25</v>
      </c>
      <c r="J783" s="6">
        <v>1</v>
      </c>
      <c r="K783" s="6">
        <v>1</v>
      </c>
      <c r="L783" s="6">
        <v>1</v>
      </c>
      <c r="M783" s="6">
        <v>0</v>
      </c>
      <c r="N783" s="6">
        <v>0</v>
      </c>
      <c r="O783" s="6">
        <v>0</v>
      </c>
      <c r="P783" s="6">
        <f>IF(O783&gt;0,1,0)</f>
        <v>0</v>
      </c>
      <c r="Q783" s="6">
        <v>0</v>
      </c>
      <c r="S783" s="6">
        <v>70.8</v>
      </c>
      <c r="T783" s="6">
        <f>IF(S783="",MEDIAN($S$2:$S$1409),S783)</f>
        <v>70.8</v>
      </c>
    </row>
    <row r="784" spans="1:20" ht="15" customHeight="1">
      <c r="A784" s="6" t="s">
        <v>819</v>
      </c>
      <c r="B784" s="7">
        <v>45658</v>
      </c>
      <c r="C784" s="6" t="s">
        <v>727</v>
      </c>
      <c r="D784" s="6" t="s">
        <v>22</v>
      </c>
      <c r="E784" s="6" t="s">
        <v>38</v>
      </c>
      <c r="F784" s="6" t="str">
        <f>IF(E784="","Unknown",E784)</f>
        <v>Tablet</v>
      </c>
      <c r="G784" s="6" t="s">
        <v>29</v>
      </c>
      <c r="H784" s="6" t="str">
        <f>IF(G784="","Unknown",G784)</f>
        <v>Organic</v>
      </c>
      <c r="I784" s="6" t="s">
        <v>25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f>IF(O784&gt;0,1,0)</f>
        <v>0</v>
      </c>
      <c r="Q784" s="6">
        <v>0</v>
      </c>
      <c r="S784" s="6">
        <v>65.900000000000006</v>
      </c>
      <c r="T784" s="6">
        <f>IF(S784="",MEDIAN($S$2:$S$1409),S784)</f>
        <v>65.900000000000006</v>
      </c>
    </row>
    <row r="785" spans="1:20" ht="15" customHeight="1">
      <c r="A785" s="6" t="s">
        <v>820</v>
      </c>
      <c r="B785" s="7">
        <v>45764</v>
      </c>
      <c r="C785" s="6" t="s">
        <v>727</v>
      </c>
      <c r="D785" s="6" t="s">
        <v>27</v>
      </c>
      <c r="E785" s="6" t="s">
        <v>28</v>
      </c>
      <c r="F785" s="6" t="str">
        <f>IF(E785="","Unknown",E785)</f>
        <v>Mobile</v>
      </c>
      <c r="G785" s="6" t="s">
        <v>43</v>
      </c>
      <c r="H785" s="6" t="str">
        <f>IF(G785="","Unknown",G785)</f>
        <v>Referral</v>
      </c>
      <c r="I785" s="6" t="s">
        <v>30</v>
      </c>
      <c r="J785" s="6">
        <v>1</v>
      </c>
      <c r="K785" s="6">
        <v>0</v>
      </c>
      <c r="L785" s="6">
        <v>0</v>
      </c>
      <c r="M785" s="6">
        <v>0</v>
      </c>
      <c r="N785" s="6">
        <v>0</v>
      </c>
      <c r="O785" s="6">
        <v>0</v>
      </c>
      <c r="P785" s="6">
        <f>IF(O785&gt;0,1,0)</f>
        <v>0</v>
      </c>
      <c r="Q785" s="6">
        <v>0</v>
      </c>
      <c r="S785" s="6">
        <v>58</v>
      </c>
      <c r="T785" s="6">
        <f>IF(S785="",MEDIAN($S$2:$S$1409),S785)</f>
        <v>58</v>
      </c>
    </row>
    <row r="786" spans="1:20" ht="15" customHeight="1">
      <c r="A786" s="6" t="s">
        <v>821</v>
      </c>
      <c r="B786" s="7">
        <v>45707</v>
      </c>
      <c r="C786" s="6" t="s">
        <v>727</v>
      </c>
      <c r="D786" s="6" t="s">
        <v>22</v>
      </c>
      <c r="E786" s="6" t="s">
        <v>28</v>
      </c>
      <c r="F786" s="6" t="str">
        <f>IF(E786="","Unknown",E786)</f>
        <v>Mobile</v>
      </c>
      <c r="G786" s="6" t="s">
        <v>24</v>
      </c>
      <c r="H786" s="6" t="str">
        <f>IF(G786="","Unknown",G786)</f>
        <v>Email</v>
      </c>
      <c r="I786" s="6" t="s">
        <v>25</v>
      </c>
      <c r="J786" s="6">
        <v>1</v>
      </c>
      <c r="K786" s="6">
        <v>1</v>
      </c>
      <c r="L786" s="6">
        <v>0</v>
      </c>
      <c r="M786" s="6">
        <v>0</v>
      </c>
      <c r="N786" s="6">
        <v>0</v>
      </c>
      <c r="O786" s="6">
        <v>0</v>
      </c>
      <c r="P786" s="6">
        <f>IF(O786&gt;0,1,0)</f>
        <v>0</v>
      </c>
      <c r="Q786" s="6">
        <v>0</v>
      </c>
      <c r="S786" s="6">
        <v>80.3</v>
      </c>
      <c r="T786" s="6">
        <f>IF(S786="",MEDIAN($S$2:$S$1409),S786)</f>
        <v>80.3</v>
      </c>
    </row>
    <row r="787" spans="1:20" ht="15" customHeight="1">
      <c r="A787" s="6" t="s">
        <v>822</v>
      </c>
      <c r="B787" s="7">
        <v>45730</v>
      </c>
      <c r="C787" s="6" t="s">
        <v>727</v>
      </c>
      <c r="D787" s="6" t="s">
        <v>22</v>
      </c>
      <c r="E787" s="6" t="s">
        <v>23</v>
      </c>
      <c r="F787" s="6" t="str">
        <f>IF(E787="","Unknown",E787)</f>
        <v>Desktop</v>
      </c>
      <c r="G787" s="6" t="s">
        <v>29</v>
      </c>
      <c r="H787" s="6" t="str">
        <f>IF(G787="","Unknown",G787)</f>
        <v>Organic</v>
      </c>
      <c r="I787" s="6" t="s">
        <v>30</v>
      </c>
      <c r="J787" s="6">
        <v>1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  <c r="P787" s="6">
        <f>IF(O787&gt;0,1,0)</f>
        <v>0</v>
      </c>
      <c r="Q787" s="6">
        <v>0</v>
      </c>
      <c r="S787" s="6">
        <v>55.7</v>
      </c>
      <c r="T787" s="6">
        <f>IF(S787="",MEDIAN($S$2:$S$1409),S787)</f>
        <v>55.7</v>
      </c>
    </row>
    <row r="788" spans="1:20" ht="15" customHeight="1">
      <c r="A788" s="6" t="s">
        <v>823</v>
      </c>
      <c r="B788" s="7">
        <v>45768</v>
      </c>
      <c r="C788" s="6" t="s">
        <v>727</v>
      </c>
      <c r="D788" s="6" t="s">
        <v>22</v>
      </c>
      <c r="E788" s="6" t="s">
        <v>28</v>
      </c>
      <c r="F788" s="6" t="str">
        <f>IF(E788="","Unknown",E788)</f>
        <v>Mobile</v>
      </c>
      <c r="G788" s="6" t="s">
        <v>29</v>
      </c>
      <c r="H788" s="6" t="str">
        <f>IF(G788="","Unknown",G788)</f>
        <v>Organic</v>
      </c>
      <c r="I788" s="6" t="s">
        <v>30</v>
      </c>
      <c r="J788" s="6">
        <v>1</v>
      </c>
      <c r="K788" s="6">
        <v>1</v>
      </c>
      <c r="L788" s="6">
        <v>0</v>
      </c>
      <c r="M788" s="6">
        <v>0</v>
      </c>
      <c r="N788" s="6">
        <v>0</v>
      </c>
      <c r="O788" s="6">
        <v>0</v>
      </c>
      <c r="P788" s="6">
        <f>IF(O788&gt;0,1,0)</f>
        <v>0</v>
      </c>
      <c r="Q788" s="6">
        <v>0</v>
      </c>
      <c r="S788" s="6">
        <v>84.9</v>
      </c>
      <c r="T788" s="6">
        <f>IF(S788="",MEDIAN($S$2:$S$1409),S788)</f>
        <v>84.9</v>
      </c>
    </row>
    <row r="789" spans="1:20" ht="15" customHeight="1">
      <c r="A789" s="6" t="s">
        <v>824</v>
      </c>
      <c r="B789" s="7">
        <v>45702</v>
      </c>
      <c r="C789" s="6" t="s">
        <v>727</v>
      </c>
      <c r="D789" s="6" t="s">
        <v>22</v>
      </c>
      <c r="E789" s="6" t="s">
        <v>28</v>
      </c>
      <c r="F789" s="6" t="str">
        <f>IF(E789="","Unknown",E789)</f>
        <v>Mobile</v>
      </c>
      <c r="G789" s="6" t="s">
        <v>29</v>
      </c>
      <c r="H789" s="6" t="str">
        <f>IF(G789="","Unknown",G789)</f>
        <v>Organic</v>
      </c>
      <c r="I789" s="6" t="s">
        <v>30</v>
      </c>
      <c r="J789" s="6">
        <v>1</v>
      </c>
      <c r="K789" s="6">
        <v>0</v>
      </c>
      <c r="L789" s="6">
        <v>0</v>
      </c>
      <c r="M789" s="6">
        <v>0</v>
      </c>
      <c r="N789" s="6">
        <v>0</v>
      </c>
      <c r="O789" s="6">
        <v>0</v>
      </c>
      <c r="P789" s="6">
        <f>IF(O789&gt;0,1,0)</f>
        <v>0</v>
      </c>
      <c r="Q789" s="6">
        <v>0</v>
      </c>
      <c r="S789" s="6">
        <v>63.3</v>
      </c>
      <c r="T789" s="6">
        <f>IF(S789="",MEDIAN($S$2:$S$1409),S789)</f>
        <v>63.3</v>
      </c>
    </row>
    <row r="790" spans="1:20" ht="15" customHeight="1">
      <c r="A790" s="6" t="s">
        <v>825</v>
      </c>
      <c r="B790" s="7">
        <v>45807</v>
      </c>
      <c r="C790" s="6" t="s">
        <v>727</v>
      </c>
      <c r="D790" s="6" t="s">
        <v>27</v>
      </c>
      <c r="E790" s="6" t="s">
        <v>28</v>
      </c>
      <c r="F790" s="6" t="str">
        <f>IF(E790="","Unknown",E790)</f>
        <v>Mobile</v>
      </c>
      <c r="G790" s="6" t="s">
        <v>29</v>
      </c>
      <c r="H790" s="6" t="str">
        <f>IF(G790="","Unknown",G790)</f>
        <v>Organic</v>
      </c>
      <c r="I790" s="6" t="s">
        <v>30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f>IF(O790&gt;0,1,0)</f>
        <v>0</v>
      </c>
      <c r="Q790" s="6">
        <v>0</v>
      </c>
      <c r="S790" s="6">
        <v>53.1</v>
      </c>
      <c r="T790" s="6">
        <f>IF(S790="",MEDIAN($S$2:$S$1409),S790)</f>
        <v>53.1</v>
      </c>
    </row>
    <row r="791" spans="1:20" ht="15" customHeight="1">
      <c r="A791" s="6" t="s">
        <v>826</v>
      </c>
      <c r="B791" s="7">
        <v>45677</v>
      </c>
      <c r="C791" s="6" t="s">
        <v>727</v>
      </c>
      <c r="D791" s="6" t="s">
        <v>27</v>
      </c>
      <c r="E791" s="6" t="s">
        <v>28</v>
      </c>
      <c r="F791" s="6" t="str">
        <f>IF(E791="","Unknown",E791)</f>
        <v>Mobile</v>
      </c>
      <c r="G791" s="6" t="s">
        <v>29</v>
      </c>
      <c r="H791" s="6" t="str">
        <f>IF(G791="","Unknown",G791)</f>
        <v>Organic</v>
      </c>
      <c r="I791" s="6" t="s">
        <v>30</v>
      </c>
      <c r="J791" s="6">
        <v>0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  <c r="P791" s="6">
        <f>IF(O791&gt;0,1,0)</f>
        <v>0</v>
      </c>
      <c r="Q791" s="6">
        <v>0</v>
      </c>
      <c r="S791" s="6">
        <v>66</v>
      </c>
      <c r="T791" s="6">
        <f>IF(S791="",MEDIAN($S$2:$S$1409),S791)</f>
        <v>66</v>
      </c>
    </row>
    <row r="792" spans="1:20" ht="15" customHeight="1">
      <c r="A792" s="6" t="s">
        <v>827</v>
      </c>
      <c r="B792" s="7">
        <v>45733</v>
      </c>
      <c r="C792" s="6" t="s">
        <v>727</v>
      </c>
      <c r="D792" s="6" t="s">
        <v>27</v>
      </c>
      <c r="E792" s="6" t="s">
        <v>28</v>
      </c>
      <c r="F792" s="6" t="str">
        <f>IF(E792="","Unknown",E792)</f>
        <v>Mobile</v>
      </c>
      <c r="G792" s="6" t="s">
        <v>45</v>
      </c>
      <c r="H792" s="6" t="str">
        <f>IF(G792="","Unknown",G792)</f>
        <v>Social</v>
      </c>
      <c r="I792" s="6" t="s">
        <v>34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f>IF(O792&gt;0,1,0)</f>
        <v>0</v>
      </c>
      <c r="Q792" s="6">
        <v>0</v>
      </c>
      <c r="S792" s="6">
        <v>54.7</v>
      </c>
      <c r="T792" s="6">
        <f>IF(S792="",MEDIAN($S$2:$S$1409),S792)</f>
        <v>54.7</v>
      </c>
    </row>
    <row r="793" spans="1:20" ht="15" customHeight="1">
      <c r="A793" s="6" t="s">
        <v>828</v>
      </c>
      <c r="B793" s="7">
        <v>45720</v>
      </c>
      <c r="C793" s="6" t="s">
        <v>727</v>
      </c>
      <c r="D793" s="6" t="s">
        <v>27</v>
      </c>
      <c r="E793" s="6" t="s">
        <v>28</v>
      </c>
      <c r="F793" s="6" t="str">
        <f>IF(E793="","Unknown",E793)</f>
        <v>Mobile</v>
      </c>
      <c r="G793" s="6" t="s">
        <v>45</v>
      </c>
      <c r="H793" s="6" t="str">
        <f>IF(G793="","Unknown",G793)</f>
        <v>Social</v>
      </c>
      <c r="I793" s="6" t="s">
        <v>30</v>
      </c>
      <c r="J793" s="6">
        <v>1</v>
      </c>
      <c r="K793" s="6">
        <v>1</v>
      </c>
      <c r="L793" s="6">
        <v>0</v>
      </c>
      <c r="M793" s="6">
        <v>0</v>
      </c>
      <c r="N793" s="6">
        <v>0</v>
      </c>
      <c r="O793" s="6">
        <v>1</v>
      </c>
      <c r="P793" s="6">
        <f>IF(O793&gt;0,1,0)</f>
        <v>1</v>
      </c>
      <c r="Q793" s="6">
        <v>0</v>
      </c>
      <c r="S793" s="6">
        <v>41.2</v>
      </c>
      <c r="T793" s="6">
        <f>IF(S793="",MEDIAN($S$2:$S$1409),S793)</f>
        <v>41.2</v>
      </c>
    </row>
    <row r="794" spans="1:20" ht="15" customHeight="1">
      <c r="A794" s="6" t="s">
        <v>829</v>
      </c>
      <c r="B794" s="7">
        <v>45710</v>
      </c>
      <c r="C794" s="6" t="s">
        <v>727</v>
      </c>
      <c r="D794" s="6" t="s">
        <v>36</v>
      </c>
      <c r="E794" s="6" t="s">
        <v>28</v>
      </c>
      <c r="F794" s="6" t="str">
        <f>IF(E794="","Unknown",E794)</f>
        <v>Mobile</v>
      </c>
      <c r="G794" s="6" t="s">
        <v>29</v>
      </c>
      <c r="H794" s="6" t="str">
        <f>IF(G794="","Unknown",G794)</f>
        <v>Organic</v>
      </c>
      <c r="I794" s="6" t="s">
        <v>34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f>IF(O794&gt;0,1,0)</f>
        <v>0</v>
      </c>
      <c r="Q794" s="6">
        <v>0</v>
      </c>
      <c r="S794" s="6">
        <v>66.7</v>
      </c>
      <c r="T794" s="6">
        <f>IF(S794="",MEDIAN($S$2:$S$1409),S794)</f>
        <v>66.7</v>
      </c>
    </row>
    <row r="795" spans="1:20" ht="15" customHeight="1">
      <c r="A795" s="6" t="s">
        <v>830</v>
      </c>
      <c r="B795" s="7">
        <v>45779</v>
      </c>
      <c r="C795" s="6" t="s">
        <v>727</v>
      </c>
      <c r="D795" s="6" t="s">
        <v>22</v>
      </c>
      <c r="E795" s="6" t="s">
        <v>28</v>
      </c>
      <c r="F795" s="6" t="str">
        <f>IF(E795="","Unknown",E795)</f>
        <v>Mobile</v>
      </c>
      <c r="G795" s="6" t="s">
        <v>33</v>
      </c>
      <c r="H795" s="6" t="str">
        <f>IF(G795="","Unknown",G795)</f>
        <v>Paid Search</v>
      </c>
      <c r="I795" s="6" t="s">
        <v>34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f>IF(O795&gt;0,1,0)</f>
        <v>0</v>
      </c>
      <c r="Q795" s="6">
        <v>0</v>
      </c>
      <c r="S795" s="6">
        <v>39.4</v>
      </c>
      <c r="T795" s="6">
        <f>IF(S795="",MEDIAN($S$2:$S$1409),S795)</f>
        <v>39.4</v>
      </c>
    </row>
    <row r="796" spans="1:20" ht="15" customHeight="1">
      <c r="A796" s="6" t="s">
        <v>831</v>
      </c>
      <c r="B796" s="7">
        <v>45729</v>
      </c>
      <c r="C796" s="6" t="s">
        <v>727</v>
      </c>
      <c r="D796" s="6" t="s">
        <v>27</v>
      </c>
      <c r="E796" s="6" t="s">
        <v>23</v>
      </c>
      <c r="F796" s="6" t="str">
        <f>IF(E796="","Unknown",E796)</f>
        <v>Desktop</v>
      </c>
      <c r="G796" s="6" t="s">
        <v>29</v>
      </c>
      <c r="H796" s="6" t="str">
        <f>IF(G796="","Unknown",G796)</f>
        <v>Organic</v>
      </c>
      <c r="I796" s="6" t="s">
        <v>34</v>
      </c>
      <c r="J796" s="6">
        <v>0</v>
      </c>
      <c r="K796" s="6">
        <v>0</v>
      </c>
      <c r="L796" s="6">
        <v>0</v>
      </c>
      <c r="M796" s="6">
        <v>0</v>
      </c>
      <c r="N796" s="6">
        <v>0</v>
      </c>
      <c r="O796" s="6">
        <v>3</v>
      </c>
      <c r="P796" s="6">
        <f>IF(O796&gt;0,1,0)</f>
        <v>1</v>
      </c>
      <c r="Q796" s="6">
        <v>0</v>
      </c>
      <c r="S796" s="6">
        <v>67</v>
      </c>
      <c r="T796" s="6">
        <f>IF(S796="",MEDIAN($S$2:$S$1409),S796)</f>
        <v>67</v>
      </c>
    </row>
    <row r="797" spans="1:20" ht="15" customHeight="1">
      <c r="A797" s="6" t="s">
        <v>832</v>
      </c>
      <c r="B797" s="7">
        <v>45808</v>
      </c>
      <c r="C797" s="6" t="s">
        <v>727</v>
      </c>
      <c r="D797" s="6" t="s">
        <v>36</v>
      </c>
      <c r="E797" s="6" t="s">
        <v>28</v>
      </c>
      <c r="F797" s="6" t="str">
        <f>IF(E797="","Unknown",E797)</f>
        <v>Mobile</v>
      </c>
      <c r="G797" s="6" t="s">
        <v>29</v>
      </c>
      <c r="H797" s="6" t="str">
        <f>IF(G797="","Unknown",G797)</f>
        <v>Organic</v>
      </c>
      <c r="I797" s="6" t="s">
        <v>25</v>
      </c>
      <c r="J797" s="6">
        <v>1</v>
      </c>
      <c r="K797" s="6">
        <v>0</v>
      </c>
      <c r="L797" s="6">
        <v>0</v>
      </c>
      <c r="M797" s="6">
        <v>0</v>
      </c>
      <c r="N797" s="6">
        <v>0</v>
      </c>
      <c r="O797" s="6">
        <v>0</v>
      </c>
      <c r="P797" s="6">
        <f>IF(O797&gt;0,1,0)</f>
        <v>0</v>
      </c>
      <c r="Q797" s="6">
        <v>0</v>
      </c>
      <c r="S797" s="6">
        <v>50.4</v>
      </c>
      <c r="T797" s="6">
        <f>IF(S797="",MEDIAN($S$2:$S$1409),S797)</f>
        <v>50.4</v>
      </c>
    </row>
    <row r="798" spans="1:20" ht="15" customHeight="1">
      <c r="A798" s="6" t="s">
        <v>833</v>
      </c>
      <c r="B798" s="7">
        <v>45723</v>
      </c>
      <c r="C798" s="6" t="s">
        <v>727</v>
      </c>
      <c r="D798" s="6" t="s">
        <v>27</v>
      </c>
      <c r="E798" s="6" t="s">
        <v>23</v>
      </c>
      <c r="F798" s="6" t="str">
        <f>IF(E798="","Unknown",E798)</f>
        <v>Desktop</v>
      </c>
      <c r="G798" s="6" t="s">
        <v>45</v>
      </c>
      <c r="H798" s="6" t="str">
        <f>IF(G798="","Unknown",G798)</f>
        <v>Social</v>
      </c>
      <c r="I798" s="6" t="s">
        <v>30</v>
      </c>
      <c r="J798" s="6">
        <v>1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f>IF(O798&gt;0,1,0)</f>
        <v>0</v>
      </c>
      <c r="Q798" s="6">
        <v>0</v>
      </c>
      <c r="S798" s="6">
        <v>53.8</v>
      </c>
      <c r="T798" s="6">
        <f>IF(S798="",MEDIAN($S$2:$S$1409),S798)</f>
        <v>53.8</v>
      </c>
    </row>
    <row r="799" spans="1:20" ht="15" customHeight="1">
      <c r="A799" s="6" t="s">
        <v>834</v>
      </c>
      <c r="B799" s="7">
        <v>45710</v>
      </c>
      <c r="C799" s="6" t="s">
        <v>727</v>
      </c>
      <c r="D799" s="6" t="s">
        <v>27</v>
      </c>
      <c r="E799" s="6" t="s">
        <v>28</v>
      </c>
      <c r="F799" s="6" t="str">
        <f>IF(E799="","Unknown",E799)</f>
        <v>Mobile</v>
      </c>
      <c r="G799" s="6" t="s">
        <v>33</v>
      </c>
      <c r="H799" s="6" t="str">
        <f>IF(G799="","Unknown",G799)</f>
        <v>Paid Search</v>
      </c>
      <c r="I799" s="6" t="s">
        <v>25</v>
      </c>
      <c r="J799" s="6">
        <v>0</v>
      </c>
      <c r="K799" s="6">
        <v>0</v>
      </c>
      <c r="L799" s="6">
        <v>0</v>
      </c>
      <c r="M799" s="6">
        <v>0</v>
      </c>
      <c r="N799" s="6">
        <v>0</v>
      </c>
      <c r="O799" s="6">
        <v>1</v>
      </c>
      <c r="P799" s="6">
        <f>IF(O799&gt;0,1,0)</f>
        <v>1</v>
      </c>
      <c r="Q799" s="6">
        <v>0</v>
      </c>
      <c r="S799" s="6">
        <v>82.7</v>
      </c>
      <c r="T799" s="6">
        <f>IF(S799="",MEDIAN($S$2:$S$1409),S799)</f>
        <v>82.7</v>
      </c>
    </row>
    <row r="800" spans="1:20" ht="15" customHeight="1">
      <c r="A800" s="6" t="s">
        <v>835</v>
      </c>
      <c r="B800" s="7">
        <v>45662</v>
      </c>
      <c r="C800" s="6" t="s">
        <v>727</v>
      </c>
      <c r="D800" s="6" t="s">
        <v>27</v>
      </c>
      <c r="E800" s="6" t="s">
        <v>23</v>
      </c>
      <c r="F800" s="6" t="str">
        <f>IF(E800="","Unknown",E800)</f>
        <v>Desktop</v>
      </c>
      <c r="G800" s="6" t="s">
        <v>33</v>
      </c>
      <c r="H800" s="6" t="str">
        <f>IF(G800="","Unknown",G800)</f>
        <v>Paid Search</v>
      </c>
      <c r="I800" s="6" t="s">
        <v>30</v>
      </c>
      <c r="J800" s="6">
        <v>1</v>
      </c>
      <c r="K800" s="6">
        <v>1</v>
      </c>
      <c r="L800" s="6">
        <v>1</v>
      </c>
      <c r="M800" s="6">
        <v>0</v>
      </c>
      <c r="N800" s="6">
        <v>0</v>
      </c>
      <c r="O800" s="6">
        <v>0</v>
      </c>
      <c r="P800" s="6">
        <f>IF(O800&gt;0,1,0)</f>
        <v>0</v>
      </c>
      <c r="Q800" s="6">
        <v>0</v>
      </c>
      <c r="S800" s="6">
        <v>63.9</v>
      </c>
      <c r="T800" s="6">
        <f>IF(S800="",MEDIAN($S$2:$S$1409),S800)</f>
        <v>63.9</v>
      </c>
    </row>
    <row r="801" spans="1:20" ht="15" customHeight="1">
      <c r="A801" s="6" t="s">
        <v>836</v>
      </c>
      <c r="B801" s="7">
        <v>45678</v>
      </c>
      <c r="C801" s="6" t="s">
        <v>727</v>
      </c>
      <c r="D801" s="6" t="s">
        <v>27</v>
      </c>
      <c r="E801" s="6" t="s">
        <v>28</v>
      </c>
      <c r="F801" s="6" t="str">
        <f>IF(E801="","Unknown",E801)</f>
        <v>Mobile</v>
      </c>
      <c r="G801" s="6" t="s">
        <v>43</v>
      </c>
      <c r="H801" s="6" t="str">
        <f>IF(G801="","Unknown",G801)</f>
        <v>Referral</v>
      </c>
      <c r="I801" s="6" t="s">
        <v>30</v>
      </c>
      <c r="J801" s="6">
        <v>1</v>
      </c>
      <c r="K801" s="6">
        <v>0</v>
      </c>
      <c r="L801" s="6">
        <v>0</v>
      </c>
      <c r="M801" s="6">
        <v>0</v>
      </c>
      <c r="N801" s="6">
        <v>0</v>
      </c>
      <c r="O801" s="6">
        <v>0</v>
      </c>
      <c r="P801" s="6">
        <f>IF(O801&gt;0,1,0)</f>
        <v>0</v>
      </c>
      <c r="Q801" s="6">
        <v>0</v>
      </c>
      <c r="S801" s="6">
        <v>61.9</v>
      </c>
      <c r="T801" s="6">
        <f>IF(S801="",MEDIAN($S$2:$S$1409),S801)</f>
        <v>61.9</v>
      </c>
    </row>
    <row r="802" spans="1:20" ht="15" customHeight="1">
      <c r="A802" s="6" t="s">
        <v>837</v>
      </c>
      <c r="B802" s="7">
        <v>45682</v>
      </c>
      <c r="C802" s="6" t="s">
        <v>727</v>
      </c>
      <c r="D802" s="6" t="s">
        <v>22</v>
      </c>
      <c r="E802" s="6" t="s">
        <v>23</v>
      </c>
      <c r="F802" s="6" t="str">
        <f>IF(E802="","Unknown",E802)</f>
        <v>Desktop</v>
      </c>
      <c r="G802" s="6" t="s">
        <v>45</v>
      </c>
      <c r="H802" s="6" t="str">
        <f>IF(G802="","Unknown",G802)</f>
        <v>Social</v>
      </c>
      <c r="I802" s="6" t="s">
        <v>30</v>
      </c>
      <c r="J802" s="6">
        <v>1</v>
      </c>
      <c r="K802" s="6">
        <v>1</v>
      </c>
      <c r="L802" s="6">
        <v>1</v>
      </c>
      <c r="M802" s="6">
        <v>0</v>
      </c>
      <c r="N802" s="6">
        <v>0</v>
      </c>
      <c r="O802" s="6">
        <v>0</v>
      </c>
      <c r="P802" s="6">
        <f>IF(O802&gt;0,1,0)</f>
        <v>0</v>
      </c>
      <c r="Q802" s="6">
        <v>0</v>
      </c>
      <c r="S802" s="6">
        <v>75</v>
      </c>
      <c r="T802" s="6">
        <f>IF(S802="",MEDIAN($S$2:$S$1409),S802)</f>
        <v>75</v>
      </c>
    </row>
    <row r="803" spans="1:20" ht="15" customHeight="1">
      <c r="A803" s="6" t="s">
        <v>838</v>
      </c>
      <c r="B803" s="7">
        <v>45751</v>
      </c>
      <c r="C803" s="6" t="s">
        <v>727</v>
      </c>
      <c r="D803" s="6" t="s">
        <v>27</v>
      </c>
      <c r="E803" s="6" t="s">
        <v>28</v>
      </c>
      <c r="F803" s="6" t="str">
        <f>IF(E803="","Unknown",E803)</f>
        <v>Mobile</v>
      </c>
      <c r="G803" s="6" t="s">
        <v>33</v>
      </c>
      <c r="H803" s="6" t="str">
        <f>IF(G803="","Unknown",G803)</f>
        <v>Paid Search</v>
      </c>
      <c r="I803" s="6" t="s">
        <v>25</v>
      </c>
      <c r="J803" s="6">
        <v>1</v>
      </c>
      <c r="K803" s="6">
        <v>1</v>
      </c>
      <c r="L803" s="6">
        <v>1</v>
      </c>
      <c r="M803" s="6">
        <v>0</v>
      </c>
      <c r="N803" s="6">
        <v>0</v>
      </c>
      <c r="O803" s="6">
        <v>0</v>
      </c>
      <c r="P803" s="6">
        <f>IF(O803&gt;0,1,0)</f>
        <v>0</v>
      </c>
      <c r="Q803" s="6">
        <v>0</v>
      </c>
      <c r="S803" s="6">
        <v>43</v>
      </c>
      <c r="T803" s="6">
        <f>IF(S803="",MEDIAN($S$2:$S$1409),S803)</f>
        <v>43</v>
      </c>
    </row>
    <row r="804" spans="1:20" ht="15" customHeight="1">
      <c r="A804" s="6" t="s">
        <v>839</v>
      </c>
      <c r="B804" s="7">
        <v>45741</v>
      </c>
      <c r="C804" s="6" t="s">
        <v>727</v>
      </c>
      <c r="D804" s="6" t="s">
        <v>22</v>
      </c>
      <c r="E804" s="6" t="s">
        <v>23</v>
      </c>
      <c r="F804" s="6" t="str">
        <f>IF(E804="","Unknown",E804)</f>
        <v>Desktop</v>
      </c>
      <c r="G804" s="6" t="s">
        <v>45</v>
      </c>
      <c r="H804" s="6" t="str">
        <f>IF(G804="","Unknown",G804)</f>
        <v>Social</v>
      </c>
      <c r="I804" s="6" t="s">
        <v>34</v>
      </c>
      <c r="J804" s="6">
        <v>0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f>IF(O804&gt;0,1,0)</f>
        <v>0</v>
      </c>
      <c r="Q804" s="6">
        <v>0</v>
      </c>
      <c r="S804" s="6">
        <v>54.3</v>
      </c>
      <c r="T804" s="6">
        <f>IF(S804="",MEDIAN($S$2:$S$1409),S804)</f>
        <v>54.3</v>
      </c>
    </row>
    <row r="805" spans="1:20" ht="15" customHeight="1">
      <c r="A805" s="6" t="s">
        <v>840</v>
      </c>
      <c r="B805" s="7">
        <v>45735</v>
      </c>
      <c r="C805" s="6" t="s">
        <v>727</v>
      </c>
      <c r="D805" s="6" t="s">
        <v>27</v>
      </c>
      <c r="E805" s="6" t="s">
        <v>28</v>
      </c>
      <c r="F805" s="6" t="str">
        <f>IF(E805="","Unknown",E805)</f>
        <v>Mobile</v>
      </c>
      <c r="G805" s="6" t="s">
        <v>45</v>
      </c>
      <c r="H805" s="6" t="str">
        <f>IF(G805="","Unknown",G805)</f>
        <v>Social</v>
      </c>
      <c r="I805" s="6" t="s">
        <v>30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2</v>
      </c>
      <c r="P805" s="6">
        <f>IF(O805&gt;0,1,0)</f>
        <v>1</v>
      </c>
      <c r="Q805" s="6">
        <v>0</v>
      </c>
      <c r="S805" s="6">
        <v>44.3</v>
      </c>
      <c r="T805" s="6">
        <f>IF(S805="",MEDIAN($S$2:$S$1409),S805)</f>
        <v>44.3</v>
      </c>
    </row>
    <row r="806" spans="1:20" ht="15" customHeight="1">
      <c r="A806" s="6" t="s">
        <v>841</v>
      </c>
      <c r="B806" s="7">
        <v>45771</v>
      </c>
      <c r="C806" s="6" t="s">
        <v>727</v>
      </c>
      <c r="D806" s="6" t="s">
        <v>27</v>
      </c>
      <c r="E806" s="6" t="s">
        <v>23</v>
      </c>
      <c r="F806" s="6" t="str">
        <f>IF(E806="","Unknown",E806)</f>
        <v>Desktop</v>
      </c>
      <c r="G806" s="6" t="s">
        <v>29</v>
      </c>
      <c r="H806" s="6" t="str">
        <f>IF(G806="","Unknown",G806)</f>
        <v>Organic</v>
      </c>
      <c r="I806" s="6" t="s">
        <v>30</v>
      </c>
      <c r="J806" s="6">
        <v>1</v>
      </c>
      <c r="K806" s="6">
        <v>1</v>
      </c>
      <c r="L806" s="6">
        <v>1</v>
      </c>
      <c r="M806" s="6">
        <v>1</v>
      </c>
      <c r="N806" s="6">
        <v>402.88</v>
      </c>
      <c r="O806" s="6">
        <v>0</v>
      </c>
      <c r="P806" s="6">
        <f>IF(O806&gt;0,1,0)</f>
        <v>0</v>
      </c>
      <c r="Q806" s="6">
        <v>0</v>
      </c>
      <c r="R806" s="6">
        <v>12</v>
      </c>
      <c r="S806" s="6">
        <v>76</v>
      </c>
      <c r="T806" s="6">
        <f>IF(S806="",MEDIAN($S$2:$S$1409),S806)</f>
        <v>76</v>
      </c>
    </row>
    <row r="807" spans="1:20" ht="15" customHeight="1">
      <c r="A807" s="6" t="s">
        <v>842</v>
      </c>
      <c r="B807" s="7">
        <v>45751</v>
      </c>
      <c r="C807" s="6" t="s">
        <v>727</v>
      </c>
      <c r="D807" s="6" t="s">
        <v>36</v>
      </c>
      <c r="E807" s="6" t="s">
        <v>38</v>
      </c>
      <c r="F807" s="6" t="str">
        <f>IF(E807="","Unknown",E807)</f>
        <v>Tablet</v>
      </c>
      <c r="G807" s="6" t="s">
        <v>29</v>
      </c>
      <c r="H807" s="6" t="str">
        <f>IF(G807="","Unknown",G807)</f>
        <v>Organic</v>
      </c>
      <c r="I807" s="6" t="s">
        <v>30</v>
      </c>
      <c r="J807" s="6">
        <v>1</v>
      </c>
      <c r="K807" s="6">
        <v>0</v>
      </c>
      <c r="L807" s="6">
        <v>0</v>
      </c>
      <c r="M807" s="6">
        <v>0</v>
      </c>
      <c r="N807" s="6">
        <v>0</v>
      </c>
      <c r="O807" s="6">
        <v>2</v>
      </c>
      <c r="P807" s="6">
        <f>IF(O807&gt;0,1,0)</f>
        <v>1</v>
      </c>
      <c r="Q807" s="6">
        <v>0</v>
      </c>
      <c r="S807" s="6">
        <v>65.3</v>
      </c>
      <c r="T807" s="6">
        <f>IF(S807="",MEDIAN($S$2:$S$1409),S807)</f>
        <v>65.3</v>
      </c>
    </row>
    <row r="808" spans="1:20" ht="15" customHeight="1">
      <c r="A808" s="6" t="s">
        <v>843</v>
      </c>
      <c r="B808" s="7">
        <v>45744</v>
      </c>
      <c r="C808" s="6" t="s">
        <v>727</v>
      </c>
      <c r="D808" s="6" t="s">
        <v>36</v>
      </c>
      <c r="E808" s="6" t="s">
        <v>23</v>
      </c>
      <c r="F808" s="6" t="str">
        <f>IF(E808="","Unknown",E808)</f>
        <v>Desktop</v>
      </c>
      <c r="G808" s="6" t="s">
        <v>33</v>
      </c>
      <c r="H808" s="6" t="str">
        <f>IF(G808="","Unknown",G808)</f>
        <v>Paid Search</v>
      </c>
      <c r="I808" s="6" t="s">
        <v>34</v>
      </c>
      <c r="J808" s="6">
        <v>1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f>IF(O808&gt;0,1,0)</f>
        <v>0</v>
      </c>
      <c r="Q808" s="6">
        <v>0</v>
      </c>
      <c r="S808" s="6">
        <v>71.2</v>
      </c>
      <c r="T808" s="6">
        <f>IF(S808="",MEDIAN($S$2:$S$1409),S808)</f>
        <v>71.2</v>
      </c>
    </row>
    <row r="809" spans="1:20" ht="15" customHeight="1">
      <c r="A809" s="6" t="s">
        <v>844</v>
      </c>
      <c r="B809" s="7">
        <v>45792</v>
      </c>
      <c r="C809" s="6" t="s">
        <v>727</v>
      </c>
      <c r="D809" s="6" t="s">
        <v>36</v>
      </c>
      <c r="E809" s="6" t="s">
        <v>38</v>
      </c>
      <c r="F809" s="6" t="str">
        <f>IF(E809="","Unknown",E809)</f>
        <v>Tablet</v>
      </c>
      <c r="G809" s="6" t="s">
        <v>33</v>
      </c>
      <c r="H809" s="6" t="str">
        <f>IF(G809="","Unknown",G809)</f>
        <v>Paid Search</v>
      </c>
      <c r="I809" s="6" t="s">
        <v>30</v>
      </c>
      <c r="J809" s="6">
        <v>1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f>IF(O809&gt;0,1,0)</f>
        <v>0</v>
      </c>
      <c r="Q809" s="6">
        <v>0</v>
      </c>
      <c r="S809" s="6">
        <v>77.900000000000006</v>
      </c>
      <c r="T809" s="6">
        <f>IF(S809="",MEDIAN($S$2:$S$1409),S809)</f>
        <v>77.900000000000006</v>
      </c>
    </row>
    <row r="810" spans="1:20" ht="15" customHeight="1">
      <c r="A810" s="6" t="s">
        <v>845</v>
      </c>
      <c r="B810" s="7">
        <v>45729</v>
      </c>
      <c r="C810" s="6" t="s">
        <v>727</v>
      </c>
      <c r="D810" s="6" t="s">
        <v>27</v>
      </c>
      <c r="E810" s="6" t="s">
        <v>28</v>
      </c>
      <c r="F810" s="6" t="str">
        <f>IF(E810="","Unknown",E810)</f>
        <v>Mobile</v>
      </c>
      <c r="G810" s="6" t="s">
        <v>33</v>
      </c>
      <c r="H810" s="6" t="str">
        <f>IF(G810="","Unknown",G810)</f>
        <v>Paid Search</v>
      </c>
      <c r="I810" s="6" t="s">
        <v>30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f>IF(O810&gt;0,1,0)</f>
        <v>0</v>
      </c>
      <c r="Q810" s="6">
        <v>0</v>
      </c>
      <c r="S810" s="6">
        <v>48.6</v>
      </c>
      <c r="T810" s="6">
        <f>IF(S810="",MEDIAN($S$2:$S$1409),S810)</f>
        <v>48.6</v>
      </c>
    </row>
    <row r="811" spans="1:20" ht="15" customHeight="1">
      <c r="A811" s="6" t="s">
        <v>846</v>
      </c>
      <c r="B811" s="7">
        <v>45742</v>
      </c>
      <c r="C811" s="6" t="s">
        <v>727</v>
      </c>
      <c r="D811" s="6" t="s">
        <v>22</v>
      </c>
      <c r="E811" s="6" t="s">
        <v>28</v>
      </c>
      <c r="F811" s="6" t="str">
        <f>IF(E811="","Unknown",E811)</f>
        <v>Mobile</v>
      </c>
      <c r="G811" s="6" t="s">
        <v>45</v>
      </c>
      <c r="H811" s="6" t="str">
        <f>IF(G811="","Unknown",G811)</f>
        <v>Social</v>
      </c>
      <c r="I811" s="6" t="s">
        <v>34</v>
      </c>
      <c r="J811" s="6">
        <v>1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f>IF(O811&gt;0,1,0)</f>
        <v>0</v>
      </c>
      <c r="Q811" s="6">
        <v>0</v>
      </c>
      <c r="S811" s="6">
        <v>61.9</v>
      </c>
      <c r="T811" s="6">
        <f>IF(S811="",MEDIAN($S$2:$S$1409),S811)</f>
        <v>61.9</v>
      </c>
    </row>
    <row r="812" spans="1:20" ht="15" customHeight="1">
      <c r="A812" s="6" t="s">
        <v>847</v>
      </c>
      <c r="B812" s="7">
        <v>45666</v>
      </c>
      <c r="C812" s="6" t="s">
        <v>727</v>
      </c>
      <c r="D812" s="6" t="s">
        <v>22</v>
      </c>
      <c r="E812" s="6" t="s">
        <v>28</v>
      </c>
      <c r="F812" s="6" t="str">
        <f>IF(E812="","Unknown",E812)</f>
        <v>Mobile</v>
      </c>
      <c r="G812" s="6" t="s">
        <v>45</v>
      </c>
      <c r="H812" s="6" t="str">
        <f>IF(G812="","Unknown",G812)</f>
        <v>Social</v>
      </c>
      <c r="I812" s="6" t="s">
        <v>25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1</v>
      </c>
      <c r="P812" s="6">
        <f>IF(O812&gt;0,1,0)</f>
        <v>1</v>
      </c>
      <c r="Q812" s="6">
        <v>0</v>
      </c>
      <c r="S812" s="6">
        <v>58.7</v>
      </c>
      <c r="T812" s="6">
        <f>IF(S812="",MEDIAN($S$2:$S$1409),S812)</f>
        <v>58.7</v>
      </c>
    </row>
    <row r="813" spans="1:20" ht="15" customHeight="1">
      <c r="A813" s="6" t="s">
        <v>848</v>
      </c>
      <c r="B813" s="7">
        <v>45783</v>
      </c>
      <c r="C813" s="6" t="s">
        <v>727</v>
      </c>
      <c r="D813" s="6" t="s">
        <v>36</v>
      </c>
      <c r="E813" s="6" t="s">
        <v>23</v>
      </c>
      <c r="F813" s="6" t="str">
        <f>IF(E813="","Unknown",E813)</f>
        <v>Desktop</v>
      </c>
      <c r="G813" s="6" t="s">
        <v>33</v>
      </c>
      <c r="H813" s="6" t="str">
        <f>IF(G813="","Unknown",G813)</f>
        <v>Paid Search</v>
      </c>
      <c r="I813" s="6" t="s">
        <v>30</v>
      </c>
      <c r="J813" s="6">
        <v>1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>
        <f>IF(O813&gt;0,1,0)</f>
        <v>0</v>
      </c>
      <c r="Q813" s="6">
        <v>0</v>
      </c>
      <c r="S813" s="6">
        <v>69.599999999999994</v>
      </c>
      <c r="T813" s="6">
        <f>IF(S813="",MEDIAN($S$2:$S$1409),S813)</f>
        <v>69.599999999999994</v>
      </c>
    </row>
    <row r="814" spans="1:20" ht="15" customHeight="1">
      <c r="A814" s="6" t="s">
        <v>849</v>
      </c>
      <c r="B814" s="7">
        <v>45705</v>
      </c>
      <c r="C814" s="6" t="s">
        <v>727</v>
      </c>
      <c r="D814" s="6" t="s">
        <v>36</v>
      </c>
      <c r="E814" s="6" t="s">
        <v>28</v>
      </c>
      <c r="F814" s="6" t="str">
        <f>IF(E814="","Unknown",E814)</f>
        <v>Mobile</v>
      </c>
      <c r="G814" s="6" t="s">
        <v>29</v>
      </c>
      <c r="H814" s="6" t="str">
        <f>IF(G814="","Unknown",G814)</f>
        <v>Organic</v>
      </c>
      <c r="I814" s="6" t="s">
        <v>30</v>
      </c>
      <c r="J814" s="6">
        <v>1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f>IF(O814&gt;0,1,0)</f>
        <v>0</v>
      </c>
      <c r="Q814" s="6">
        <v>0</v>
      </c>
      <c r="S814" s="6">
        <v>51.5</v>
      </c>
      <c r="T814" s="6">
        <f>IF(S814="",MEDIAN($S$2:$S$1409),S814)</f>
        <v>51.5</v>
      </c>
    </row>
    <row r="815" spans="1:20" ht="15" customHeight="1">
      <c r="A815" s="6" t="s">
        <v>850</v>
      </c>
      <c r="B815" s="7">
        <v>45752</v>
      </c>
      <c r="C815" s="6" t="s">
        <v>727</v>
      </c>
      <c r="D815" s="6" t="s">
        <v>32</v>
      </c>
      <c r="E815" s="6" t="s">
        <v>28</v>
      </c>
      <c r="F815" s="6" t="str">
        <f>IF(E815="","Unknown",E815)</f>
        <v>Mobile</v>
      </c>
      <c r="G815" s="6" t="s">
        <v>33</v>
      </c>
      <c r="H815" s="6" t="str">
        <f>IF(G815="","Unknown",G815)</f>
        <v>Paid Search</v>
      </c>
      <c r="I815" s="6" t="s">
        <v>30</v>
      </c>
      <c r="J815" s="6">
        <v>1</v>
      </c>
      <c r="K815" s="6">
        <v>1</v>
      </c>
      <c r="L815" s="6">
        <v>1</v>
      </c>
      <c r="M815" s="6">
        <v>1</v>
      </c>
      <c r="N815" s="6">
        <v>277.69</v>
      </c>
      <c r="O815" s="6">
        <v>3</v>
      </c>
      <c r="P815" s="6">
        <f>IF(O815&gt;0,1,0)</f>
        <v>1</v>
      </c>
      <c r="Q815" s="6">
        <v>0</v>
      </c>
      <c r="R815" s="6">
        <v>8</v>
      </c>
      <c r="S815" s="6">
        <v>46</v>
      </c>
      <c r="T815" s="6">
        <f>IF(S815="",MEDIAN($S$2:$S$1409),S815)</f>
        <v>46</v>
      </c>
    </row>
    <row r="816" spans="1:20" ht="15" customHeight="1">
      <c r="A816" s="6" t="s">
        <v>851</v>
      </c>
      <c r="B816" s="7">
        <v>45760</v>
      </c>
      <c r="C816" s="6" t="s">
        <v>727</v>
      </c>
      <c r="D816" s="6" t="s">
        <v>27</v>
      </c>
      <c r="E816" s="6" t="s">
        <v>38</v>
      </c>
      <c r="F816" s="6" t="str">
        <f>IF(E816="","Unknown",E816)</f>
        <v>Tablet</v>
      </c>
      <c r="G816" s="6" t="s">
        <v>29</v>
      </c>
      <c r="H816" s="6" t="str">
        <f>IF(G816="","Unknown",G816)</f>
        <v>Organic</v>
      </c>
      <c r="I816" s="6" t="s">
        <v>30</v>
      </c>
      <c r="J816" s="6">
        <v>1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f>IF(O816&gt;0,1,0)</f>
        <v>0</v>
      </c>
      <c r="Q816" s="6">
        <v>0</v>
      </c>
      <c r="S816" s="6">
        <v>81.7</v>
      </c>
      <c r="T816" s="6">
        <f>IF(S816="",MEDIAN($S$2:$S$1409),S816)</f>
        <v>81.7</v>
      </c>
    </row>
    <row r="817" spans="1:20" ht="15" customHeight="1">
      <c r="A817" s="6" t="s">
        <v>852</v>
      </c>
      <c r="B817" s="7">
        <v>45797</v>
      </c>
      <c r="C817" s="6" t="s">
        <v>727</v>
      </c>
      <c r="D817" s="6" t="s">
        <v>32</v>
      </c>
      <c r="E817" s="6" t="s">
        <v>23</v>
      </c>
      <c r="F817" s="6" t="str">
        <f>IF(E817="","Unknown",E817)</f>
        <v>Desktop</v>
      </c>
      <c r="G817" s="6" t="s">
        <v>43</v>
      </c>
      <c r="H817" s="6" t="str">
        <f>IF(G817="","Unknown",G817)</f>
        <v>Referral</v>
      </c>
      <c r="I817" s="6" t="s">
        <v>30</v>
      </c>
      <c r="J817" s="6">
        <v>1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f>IF(O817&gt;0,1,0)</f>
        <v>0</v>
      </c>
      <c r="Q817" s="6">
        <v>0</v>
      </c>
      <c r="S817" s="6">
        <v>48.3</v>
      </c>
      <c r="T817" s="6">
        <f>IF(S817="",MEDIAN($S$2:$S$1409),S817)</f>
        <v>48.3</v>
      </c>
    </row>
    <row r="818" spans="1:20" ht="15" customHeight="1">
      <c r="A818" s="6" t="s">
        <v>853</v>
      </c>
      <c r="B818" s="7">
        <v>45747</v>
      </c>
      <c r="C818" s="6" t="s">
        <v>727</v>
      </c>
      <c r="D818" s="6" t="s">
        <v>32</v>
      </c>
      <c r="E818" s="6" t="s">
        <v>28</v>
      </c>
      <c r="F818" s="6" t="str">
        <f>IF(E818="","Unknown",E818)</f>
        <v>Mobile</v>
      </c>
      <c r="G818" s="6" t="s">
        <v>24</v>
      </c>
      <c r="H818" s="6" t="str">
        <f>IF(G818="","Unknown",G818)</f>
        <v>Email</v>
      </c>
      <c r="I818" s="6" t="s">
        <v>30</v>
      </c>
      <c r="J818" s="6">
        <v>1</v>
      </c>
      <c r="K818" s="6">
        <v>1</v>
      </c>
      <c r="L818" s="6">
        <v>0</v>
      </c>
      <c r="M818" s="6">
        <v>0</v>
      </c>
      <c r="N818" s="6">
        <v>0</v>
      </c>
      <c r="O818" s="6">
        <v>0</v>
      </c>
      <c r="P818" s="6">
        <f>IF(O818&gt;0,1,0)</f>
        <v>0</v>
      </c>
      <c r="Q818" s="6">
        <v>0</v>
      </c>
      <c r="S818" s="6">
        <v>85.6</v>
      </c>
      <c r="T818" s="6">
        <f>IF(S818="",MEDIAN($S$2:$S$1409),S818)</f>
        <v>85.6</v>
      </c>
    </row>
    <row r="819" spans="1:20" ht="15" customHeight="1">
      <c r="A819" s="6" t="s">
        <v>854</v>
      </c>
      <c r="B819" s="7">
        <v>45750</v>
      </c>
      <c r="C819" s="6" t="s">
        <v>727</v>
      </c>
      <c r="D819" s="6" t="s">
        <v>27</v>
      </c>
      <c r="E819" s="6" t="s">
        <v>38</v>
      </c>
      <c r="F819" s="6" t="str">
        <f>IF(E819="","Unknown",E819)</f>
        <v>Tablet</v>
      </c>
      <c r="G819" s="6" t="s">
        <v>33</v>
      </c>
      <c r="H819" s="6" t="str">
        <f>IF(G819="","Unknown",G819)</f>
        <v>Paid Search</v>
      </c>
      <c r="I819" s="6" t="s">
        <v>25</v>
      </c>
      <c r="J819" s="6">
        <v>1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6">
        <f>IF(O819&gt;0,1,0)</f>
        <v>0</v>
      </c>
      <c r="Q819" s="6">
        <v>0</v>
      </c>
      <c r="S819" s="6">
        <v>53.8</v>
      </c>
      <c r="T819" s="6">
        <f>IF(S819="",MEDIAN($S$2:$S$1409),S819)</f>
        <v>53.8</v>
      </c>
    </row>
    <row r="820" spans="1:20" ht="15" customHeight="1">
      <c r="A820" s="6" t="s">
        <v>855</v>
      </c>
      <c r="B820" s="7">
        <v>45692</v>
      </c>
      <c r="C820" s="6" t="s">
        <v>727</v>
      </c>
      <c r="D820" s="6" t="s">
        <v>36</v>
      </c>
      <c r="E820" s="6" t="s">
        <v>28</v>
      </c>
      <c r="F820" s="6" t="str">
        <f>IF(E820="","Unknown",E820)</f>
        <v>Mobile</v>
      </c>
      <c r="G820" s="6" t="s">
        <v>29</v>
      </c>
      <c r="H820" s="6" t="str">
        <f>IF(G820="","Unknown",G820)</f>
        <v>Organic</v>
      </c>
      <c r="I820" s="6" t="s">
        <v>30</v>
      </c>
      <c r="J820" s="6">
        <v>1</v>
      </c>
      <c r="K820" s="6">
        <v>1</v>
      </c>
      <c r="L820" s="6">
        <v>1</v>
      </c>
      <c r="M820" s="6">
        <v>1</v>
      </c>
      <c r="N820" s="6">
        <v>460.83</v>
      </c>
      <c r="O820" s="6">
        <v>2</v>
      </c>
      <c r="P820" s="6">
        <f>IF(O820&gt;0,1,0)</f>
        <v>1</v>
      </c>
      <c r="Q820" s="6">
        <v>0</v>
      </c>
      <c r="R820" s="6">
        <v>0</v>
      </c>
      <c r="S820" s="6">
        <v>69.7</v>
      </c>
      <c r="T820" s="6">
        <f>IF(S820="",MEDIAN($S$2:$S$1409),S820)</f>
        <v>69.7</v>
      </c>
    </row>
    <row r="821" spans="1:20" ht="15" customHeight="1">
      <c r="A821" s="6" t="s">
        <v>856</v>
      </c>
      <c r="B821" s="7">
        <v>45796</v>
      </c>
      <c r="C821" s="6" t="s">
        <v>727</v>
      </c>
      <c r="D821" s="6" t="s">
        <v>32</v>
      </c>
      <c r="E821" s="6" t="s">
        <v>28</v>
      </c>
      <c r="F821" s="6" t="str">
        <f>IF(E821="","Unknown",E821)</f>
        <v>Mobile</v>
      </c>
      <c r="G821" s="6" t="s">
        <v>29</v>
      </c>
      <c r="H821" s="6" t="str">
        <f>IF(G821="","Unknown",G821)</f>
        <v>Organic</v>
      </c>
      <c r="I821" s="6" t="s">
        <v>30</v>
      </c>
      <c r="J821" s="6">
        <v>1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f>IF(O821&gt;0,1,0)</f>
        <v>0</v>
      </c>
      <c r="Q821" s="6">
        <v>0</v>
      </c>
      <c r="S821" s="6">
        <v>74.8</v>
      </c>
      <c r="T821" s="6">
        <f>IF(S821="",MEDIAN($S$2:$S$1409),S821)</f>
        <v>74.8</v>
      </c>
    </row>
    <row r="822" spans="1:20" ht="15" customHeight="1">
      <c r="A822" s="6" t="s">
        <v>857</v>
      </c>
      <c r="B822" s="7">
        <v>45724</v>
      </c>
      <c r="C822" s="6" t="s">
        <v>727</v>
      </c>
      <c r="D822" s="6" t="s">
        <v>32</v>
      </c>
      <c r="E822" s="6" t="s">
        <v>23</v>
      </c>
      <c r="F822" s="6" t="str">
        <f>IF(E822="","Unknown",E822)</f>
        <v>Desktop</v>
      </c>
      <c r="G822" s="6" t="s">
        <v>33</v>
      </c>
      <c r="H822" s="6" t="str">
        <f>IF(G822="","Unknown",G822)</f>
        <v>Paid Search</v>
      </c>
      <c r="I822" s="6" t="s">
        <v>25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f>IF(O822&gt;0,1,0)</f>
        <v>0</v>
      </c>
      <c r="Q822" s="6">
        <v>0</v>
      </c>
      <c r="S822" s="6">
        <v>87.9</v>
      </c>
      <c r="T822" s="6">
        <f>IF(S822="",MEDIAN($S$2:$S$1409),S822)</f>
        <v>87.9</v>
      </c>
    </row>
    <row r="823" spans="1:20" ht="15" customHeight="1">
      <c r="A823" s="6" t="s">
        <v>858</v>
      </c>
      <c r="B823" s="7">
        <v>45787</v>
      </c>
      <c r="C823" s="6" t="s">
        <v>727</v>
      </c>
      <c r="D823" s="6" t="s">
        <v>22</v>
      </c>
      <c r="E823" s="6" t="s">
        <v>28</v>
      </c>
      <c r="F823" s="6" t="str">
        <f>IF(E823="","Unknown",E823)</f>
        <v>Mobile</v>
      </c>
      <c r="G823" s="6" t="s">
        <v>45</v>
      </c>
      <c r="H823" s="6" t="str">
        <f>IF(G823="","Unknown",G823)</f>
        <v>Social</v>
      </c>
      <c r="I823" s="6" t="s">
        <v>25</v>
      </c>
      <c r="J823" s="6">
        <v>1</v>
      </c>
      <c r="K823" s="6">
        <v>0</v>
      </c>
      <c r="L823" s="6">
        <v>0</v>
      </c>
      <c r="M823" s="6">
        <v>0</v>
      </c>
      <c r="N823" s="6">
        <v>0</v>
      </c>
      <c r="O823" s="6">
        <v>1</v>
      </c>
      <c r="P823" s="6">
        <f>IF(O823&gt;0,1,0)</f>
        <v>1</v>
      </c>
      <c r="Q823" s="6">
        <v>0</v>
      </c>
      <c r="S823" s="6">
        <v>49.1</v>
      </c>
      <c r="T823" s="6">
        <f>IF(S823="",MEDIAN($S$2:$S$1409),S823)</f>
        <v>49.1</v>
      </c>
    </row>
    <row r="824" spans="1:20" ht="15" customHeight="1">
      <c r="A824" s="6" t="s">
        <v>859</v>
      </c>
      <c r="B824" s="7">
        <v>45659</v>
      </c>
      <c r="C824" s="6" t="s">
        <v>727</v>
      </c>
      <c r="D824" s="6" t="s">
        <v>32</v>
      </c>
      <c r="E824" s="6" t="s">
        <v>23</v>
      </c>
      <c r="F824" s="6" t="str">
        <f>IF(E824="","Unknown",E824)</f>
        <v>Desktop</v>
      </c>
      <c r="G824" s="6" t="s">
        <v>45</v>
      </c>
      <c r="H824" s="6" t="str">
        <f>IF(G824="","Unknown",G824)</f>
        <v>Social</v>
      </c>
      <c r="I824" s="6" t="s">
        <v>25</v>
      </c>
      <c r="J824" s="6">
        <v>1</v>
      </c>
      <c r="K824" s="6">
        <v>0</v>
      </c>
      <c r="L824" s="6">
        <v>0</v>
      </c>
      <c r="M824" s="6">
        <v>0</v>
      </c>
      <c r="N824" s="6">
        <v>0</v>
      </c>
      <c r="O824" s="6">
        <v>2</v>
      </c>
      <c r="P824" s="6">
        <f>IF(O824&gt;0,1,0)</f>
        <v>1</v>
      </c>
      <c r="Q824" s="6">
        <v>0</v>
      </c>
      <c r="S824" s="6">
        <v>73</v>
      </c>
      <c r="T824" s="6">
        <f>IF(S824="",MEDIAN($S$2:$S$1409),S824)</f>
        <v>73</v>
      </c>
    </row>
    <row r="825" spans="1:20" ht="15" customHeight="1">
      <c r="A825" s="6" t="s">
        <v>860</v>
      </c>
      <c r="B825" s="7">
        <v>45674</v>
      </c>
      <c r="C825" s="6" t="s">
        <v>727</v>
      </c>
      <c r="D825" s="6" t="s">
        <v>27</v>
      </c>
      <c r="E825" s="6" t="s">
        <v>28</v>
      </c>
      <c r="F825" s="6" t="str">
        <f>IF(E825="","Unknown",E825)</f>
        <v>Mobile</v>
      </c>
      <c r="G825" s="6" t="s">
        <v>29</v>
      </c>
      <c r="H825" s="6" t="str">
        <f>IF(G825="","Unknown",G825)</f>
        <v>Organic</v>
      </c>
      <c r="I825" s="6" t="s">
        <v>25</v>
      </c>
      <c r="J825" s="6">
        <v>0</v>
      </c>
      <c r="K825" s="6">
        <v>0</v>
      </c>
      <c r="L825" s="6">
        <v>0</v>
      </c>
      <c r="M825" s="6">
        <v>0</v>
      </c>
      <c r="N825" s="6">
        <v>0</v>
      </c>
      <c r="O825" s="6">
        <v>0</v>
      </c>
      <c r="P825" s="6">
        <f>IF(O825&gt;0,1,0)</f>
        <v>0</v>
      </c>
      <c r="Q825" s="6">
        <v>0</v>
      </c>
      <c r="S825" s="6">
        <v>79.5</v>
      </c>
      <c r="T825" s="6">
        <f>IF(S825="",MEDIAN($S$2:$S$1409),S825)</f>
        <v>79.5</v>
      </c>
    </row>
    <row r="826" spans="1:20" ht="15" customHeight="1">
      <c r="A826" s="6" t="s">
        <v>861</v>
      </c>
      <c r="B826" s="7">
        <v>45798</v>
      </c>
      <c r="C826" s="6" t="s">
        <v>727</v>
      </c>
      <c r="D826" s="6" t="s">
        <v>27</v>
      </c>
      <c r="E826" s="6" t="s">
        <v>28</v>
      </c>
      <c r="F826" s="6" t="str">
        <f>IF(E826="","Unknown",E826)</f>
        <v>Mobile</v>
      </c>
      <c r="G826" s="6" t="s">
        <v>43</v>
      </c>
      <c r="H826" s="6" t="str">
        <f>IF(G826="","Unknown",G826)</f>
        <v>Referral</v>
      </c>
      <c r="I826" s="6" t="s">
        <v>25</v>
      </c>
      <c r="J826" s="6">
        <v>1</v>
      </c>
      <c r="K826" s="6">
        <v>1</v>
      </c>
      <c r="L826" s="6">
        <v>1</v>
      </c>
      <c r="M826" s="6">
        <v>1</v>
      </c>
      <c r="N826" s="6">
        <v>782.23</v>
      </c>
      <c r="O826" s="6">
        <v>1</v>
      </c>
      <c r="P826" s="6">
        <f>IF(O826&gt;0,1,0)</f>
        <v>1</v>
      </c>
      <c r="Q826" s="6">
        <v>0</v>
      </c>
      <c r="R826" s="6">
        <v>6</v>
      </c>
      <c r="S826" s="6">
        <v>93.2</v>
      </c>
      <c r="T826" s="6">
        <f>IF(S826="",MEDIAN($S$2:$S$1409),S826)</f>
        <v>93.2</v>
      </c>
    </row>
    <row r="827" spans="1:20" ht="15" customHeight="1">
      <c r="A827" s="6" t="s">
        <v>862</v>
      </c>
      <c r="B827" s="7">
        <v>45802</v>
      </c>
      <c r="C827" s="6" t="s">
        <v>727</v>
      </c>
      <c r="D827" s="6" t="s">
        <v>32</v>
      </c>
      <c r="E827" s="6" t="s">
        <v>23</v>
      </c>
      <c r="F827" s="6" t="str">
        <f>IF(E827="","Unknown",E827)</f>
        <v>Desktop</v>
      </c>
      <c r="G827" s="6" t="s">
        <v>43</v>
      </c>
      <c r="H827" s="6" t="str">
        <f>IF(G827="","Unknown",G827)</f>
        <v>Referral</v>
      </c>
      <c r="I827" s="6" t="s">
        <v>30</v>
      </c>
      <c r="J827" s="6">
        <v>1</v>
      </c>
      <c r="K827" s="6">
        <v>0</v>
      </c>
      <c r="L827" s="6">
        <v>0</v>
      </c>
      <c r="M827" s="6">
        <v>0</v>
      </c>
      <c r="N827" s="6">
        <v>0</v>
      </c>
      <c r="O827" s="6">
        <v>3</v>
      </c>
      <c r="P827" s="6">
        <f>IF(O827&gt;0,1,0)</f>
        <v>1</v>
      </c>
      <c r="Q827" s="6">
        <v>0</v>
      </c>
      <c r="S827" s="6">
        <v>77.5</v>
      </c>
      <c r="T827" s="6">
        <f>IF(S827="",MEDIAN($S$2:$S$1409),S827)</f>
        <v>77.5</v>
      </c>
    </row>
    <row r="828" spans="1:20" ht="15" customHeight="1">
      <c r="A828" s="6" t="s">
        <v>863</v>
      </c>
      <c r="B828" s="7">
        <v>45662</v>
      </c>
      <c r="C828" s="6" t="s">
        <v>727</v>
      </c>
      <c r="D828" s="6" t="s">
        <v>27</v>
      </c>
      <c r="E828" s="6" t="s">
        <v>28</v>
      </c>
      <c r="F828" s="6" t="str">
        <f>IF(E828="","Unknown",E828)</f>
        <v>Mobile</v>
      </c>
      <c r="G828" s="6" t="s">
        <v>24</v>
      </c>
      <c r="H828" s="6" t="str">
        <f>IF(G828="","Unknown",G828)</f>
        <v>Email</v>
      </c>
      <c r="I828" s="6" t="s">
        <v>25</v>
      </c>
      <c r="J828" s="6">
        <v>1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f>IF(O828&gt;0,1,0)</f>
        <v>0</v>
      </c>
      <c r="Q828" s="6">
        <v>0</v>
      </c>
      <c r="S828" s="6">
        <v>61</v>
      </c>
      <c r="T828" s="6">
        <f>IF(S828="",MEDIAN($S$2:$S$1409),S828)</f>
        <v>61</v>
      </c>
    </row>
    <row r="829" spans="1:20" ht="15" customHeight="1">
      <c r="A829" s="6" t="s">
        <v>864</v>
      </c>
      <c r="B829" s="7">
        <v>45712</v>
      </c>
      <c r="C829" s="6" t="s">
        <v>727</v>
      </c>
      <c r="D829" s="6" t="s">
        <v>36</v>
      </c>
      <c r="E829" s="6" t="s">
        <v>23</v>
      </c>
      <c r="F829" s="6" t="str">
        <f>IF(E829="","Unknown",E829)</f>
        <v>Desktop</v>
      </c>
      <c r="G829" s="6" t="s">
        <v>29</v>
      </c>
      <c r="H829" s="6" t="str">
        <f>IF(G829="","Unknown",G829)</f>
        <v>Organic</v>
      </c>
      <c r="I829" s="6" t="s">
        <v>30</v>
      </c>
      <c r="J829" s="6">
        <v>1</v>
      </c>
      <c r="K829" s="6">
        <v>1</v>
      </c>
      <c r="L829" s="6">
        <v>0</v>
      </c>
      <c r="M829" s="6">
        <v>0</v>
      </c>
      <c r="N829" s="6">
        <v>0</v>
      </c>
      <c r="O829" s="6">
        <v>0</v>
      </c>
      <c r="P829" s="6">
        <f>IF(O829&gt;0,1,0)</f>
        <v>0</v>
      </c>
      <c r="Q829" s="6">
        <v>0</v>
      </c>
      <c r="S829" s="6">
        <v>64.900000000000006</v>
      </c>
      <c r="T829" s="6">
        <f>IF(S829="",MEDIAN($S$2:$S$1409),S829)</f>
        <v>64.900000000000006</v>
      </c>
    </row>
    <row r="830" spans="1:20" ht="15" customHeight="1">
      <c r="A830" s="6" t="s">
        <v>865</v>
      </c>
      <c r="B830" s="7">
        <v>45678</v>
      </c>
      <c r="C830" s="6" t="s">
        <v>727</v>
      </c>
      <c r="D830" s="6" t="s">
        <v>32</v>
      </c>
      <c r="E830" s="6" t="s">
        <v>28</v>
      </c>
      <c r="F830" s="6" t="str">
        <f>IF(E830="","Unknown",E830)</f>
        <v>Mobile</v>
      </c>
      <c r="G830" s="6" t="s">
        <v>33</v>
      </c>
      <c r="H830" s="6" t="str">
        <f>IF(G830="","Unknown",G830)</f>
        <v>Paid Search</v>
      </c>
      <c r="I830" s="6" t="s">
        <v>25</v>
      </c>
      <c r="J830" s="6">
        <v>1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f>IF(O830&gt;0,1,0)</f>
        <v>0</v>
      </c>
      <c r="Q830" s="6">
        <v>0</v>
      </c>
      <c r="S830" s="6">
        <v>87.5</v>
      </c>
      <c r="T830" s="6">
        <f>IF(S830="",MEDIAN($S$2:$S$1409),S830)</f>
        <v>87.5</v>
      </c>
    </row>
    <row r="831" spans="1:20" ht="15" customHeight="1">
      <c r="A831" s="6" t="s">
        <v>866</v>
      </c>
      <c r="B831" s="7">
        <v>45771</v>
      </c>
      <c r="C831" s="6" t="s">
        <v>727</v>
      </c>
      <c r="D831" s="6" t="s">
        <v>22</v>
      </c>
      <c r="E831" s="6" t="s">
        <v>28</v>
      </c>
      <c r="F831" s="6" t="str">
        <f>IF(E831="","Unknown",E831)</f>
        <v>Mobile</v>
      </c>
      <c r="G831" s="6" t="s">
        <v>29</v>
      </c>
      <c r="H831" s="6" t="str">
        <f>IF(G831="","Unknown",G831)</f>
        <v>Organic</v>
      </c>
      <c r="I831" s="6" t="s">
        <v>25</v>
      </c>
      <c r="J831" s="6">
        <v>1</v>
      </c>
      <c r="K831" s="6">
        <v>1</v>
      </c>
      <c r="L831" s="6">
        <v>1</v>
      </c>
      <c r="M831" s="6">
        <v>1</v>
      </c>
      <c r="N831" s="6">
        <v>1171.99</v>
      </c>
      <c r="O831" s="6">
        <v>0</v>
      </c>
      <c r="P831" s="6">
        <f>IF(O831&gt;0,1,0)</f>
        <v>0</v>
      </c>
      <c r="Q831" s="6">
        <v>0</v>
      </c>
      <c r="R831" s="6">
        <v>5</v>
      </c>
      <c r="S831" s="6">
        <v>80.599999999999994</v>
      </c>
      <c r="T831" s="6">
        <f>IF(S831="",MEDIAN($S$2:$S$1409),S831)</f>
        <v>80.599999999999994</v>
      </c>
    </row>
    <row r="832" spans="1:20" ht="15" customHeight="1">
      <c r="A832" s="6" t="s">
        <v>867</v>
      </c>
      <c r="B832" s="7">
        <v>45664</v>
      </c>
      <c r="C832" s="6" t="s">
        <v>727</v>
      </c>
      <c r="D832" s="6" t="s">
        <v>27</v>
      </c>
      <c r="E832" s="6" t="s">
        <v>23</v>
      </c>
      <c r="F832" s="6" t="str">
        <f>IF(E832="","Unknown",E832)</f>
        <v>Desktop</v>
      </c>
      <c r="G832" s="6" t="s">
        <v>29</v>
      </c>
      <c r="H832" s="6" t="str">
        <f>IF(G832="","Unknown",G832)</f>
        <v>Organic</v>
      </c>
      <c r="I832" s="6" t="s">
        <v>30</v>
      </c>
      <c r="J832" s="6">
        <v>1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f>IF(O832&gt;0,1,0)</f>
        <v>0</v>
      </c>
      <c r="Q832" s="6">
        <v>0</v>
      </c>
      <c r="S832" s="6">
        <v>66.900000000000006</v>
      </c>
      <c r="T832" s="6">
        <f>IF(S832="",MEDIAN($S$2:$S$1409),S832)</f>
        <v>66.900000000000006</v>
      </c>
    </row>
    <row r="833" spans="1:20" ht="15" customHeight="1">
      <c r="A833" s="6" t="s">
        <v>868</v>
      </c>
      <c r="B833" s="7">
        <v>45808</v>
      </c>
      <c r="C833" s="6" t="s">
        <v>727</v>
      </c>
      <c r="D833" s="6" t="s">
        <v>36</v>
      </c>
      <c r="E833" s="6" t="s">
        <v>38</v>
      </c>
      <c r="F833" s="6" t="str">
        <f>IF(E833="","Unknown",E833)</f>
        <v>Tablet</v>
      </c>
      <c r="G833" s="6" t="s">
        <v>29</v>
      </c>
      <c r="H833" s="6" t="str">
        <f>IF(G833="","Unknown",G833)</f>
        <v>Organic</v>
      </c>
      <c r="I833" s="6" t="s">
        <v>25</v>
      </c>
      <c r="J833" s="6">
        <v>1</v>
      </c>
      <c r="K833" s="6">
        <v>1</v>
      </c>
      <c r="L833" s="6">
        <v>1</v>
      </c>
      <c r="M833" s="6">
        <v>0</v>
      </c>
      <c r="N833" s="6">
        <v>0</v>
      </c>
      <c r="O833" s="6">
        <v>0</v>
      </c>
      <c r="P833" s="6">
        <f>IF(O833&gt;0,1,0)</f>
        <v>0</v>
      </c>
      <c r="Q833" s="6">
        <v>0</v>
      </c>
      <c r="S833" s="6">
        <v>58.8</v>
      </c>
      <c r="T833" s="6">
        <f>IF(S833="",MEDIAN($S$2:$S$1409),S833)</f>
        <v>58.8</v>
      </c>
    </row>
    <row r="834" spans="1:20" ht="15" customHeight="1">
      <c r="A834" s="6" t="s">
        <v>869</v>
      </c>
      <c r="B834" s="7">
        <v>45749</v>
      </c>
      <c r="C834" s="6" t="s">
        <v>727</v>
      </c>
      <c r="D834" s="6" t="s">
        <v>22</v>
      </c>
      <c r="E834" s="6" t="s">
        <v>23</v>
      </c>
      <c r="F834" s="6" t="str">
        <f>IF(E834="","Unknown",E834)</f>
        <v>Desktop</v>
      </c>
      <c r="G834" s="6" t="s">
        <v>29</v>
      </c>
      <c r="H834" s="6" t="str">
        <f>IF(G834="","Unknown",G834)</f>
        <v>Organic</v>
      </c>
      <c r="I834" s="6" t="s">
        <v>25</v>
      </c>
      <c r="J834" s="6">
        <v>1</v>
      </c>
      <c r="K834" s="6">
        <v>1</v>
      </c>
      <c r="L834" s="6">
        <v>1</v>
      </c>
      <c r="M834" s="6">
        <v>1</v>
      </c>
      <c r="N834" s="6">
        <v>1010.4</v>
      </c>
      <c r="O834" s="6">
        <v>0</v>
      </c>
      <c r="P834" s="6">
        <f>IF(O834&gt;0,1,0)</f>
        <v>0</v>
      </c>
      <c r="Q834" s="6">
        <v>0</v>
      </c>
      <c r="R834" s="6">
        <v>4</v>
      </c>
      <c r="S834" s="6">
        <v>42.9</v>
      </c>
      <c r="T834" s="6">
        <f>IF(S834="",MEDIAN($S$2:$S$1409),S834)</f>
        <v>42.9</v>
      </c>
    </row>
    <row r="835" spans="1:20" ht="15" customHeight="1">
      <c r="A835" s="6" t="s">
        <v>870</v>
      </c>
      <c r="B835" s="7">
        <v>45768</v>
      </c>
      <c r="C835" s="6" t="s">
        <v>727</v>
      </c>
      <c r="D835" s="6" t="s">
        <v>32</v>
      </c>
      <c r="E835" s="6" t="s">
        <v>28</v>
      </c>
      <c r="F835" s="6" t="str">
        <f>IF(E835="","Unknown",E835)</f>
        <v>Mobile</v>
      </c>
      <c r="G835" s="6" t="s">
        <v>29</v>
      </c>
      <c r="H835" s="6" t="str">
        <f>IF(G835="","Unknown",G835)</f>
        <v>Organic</v>
      </c>
      <c r="I835" s="6" t="s">
        <v>30</v>
      </c>
      <c r="J835" s="6">
        <v>1</v>
      </c>
      <c r="K835" s="6">
        <v>1</v>
      </c>
      <c r="L835" s="6">
        <v>1</v>
      </c>
      <c r="M835" s="6">
        <v>0</v>
      </c>
      <c r="N835" s="6">
        <v>0</v>
      </c>
      <c r="O835" s="6">
        <v>1</v>
      </c>
      <c r="P835" s="6">
        <f>IF(O835&gt;0,1,0)</f>
        <v>1</v>
      </c>
      <c r="Q835" s="6">
        <v>0</v>
      </c>
      <c r="S835" s="6">
        <v>60.2</v>
      </c>
      <c r="T835" s="6">
        <f>IF(S835="",MEDIAN($S$2:$S$1409),S835)</f>
        <v>60.2</v>
      </c>
    </row>
    <row r="836" spans="1:20" ht="15" customHeight="1">
      <c r="A836" s="6" t="s">
        <v>871</v>
      </c>
      <c r="B836" s="7">
        <v>45782</v>
      </c>
      <c r="C836" s="6" t="s">
        <v>727</v>
      </c>
      <c r="D836" s="6" t="s">
        <v>32</v>
      </c>
      <c r="E836" s="6" t="s">
        <v>28</v>
      </c>
      <c r="F836" s="6" t="str">
        <f>IF(E836="","Unknown",E836)</f>
        <v>Mobile</v>
      </c>
      <c r="G836" s="6" t="s">
        <v>33</v>
      </c>
      <c r="H836" s="6" t="str">
        <f>IF(G836="","Unknown",G836)</f>
        <v>Paid Search</v>
      </c>
      <c r="I836" s="6" t="s">
        <v>25</v>
      </c>
      <c r="J836" s="6">
        <v>1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f>IF(O836&gt;0,1,0)</f>
        <v>0</v>
      </c>
      <c r="Q836" s="6">
        <v>0</v>
      </c>
      <c r="S836" s="6">
        <v>42.7</v>
      </c>
      <c r="T836" s="6">
        <f>IF(S836="",MEDIAN($S$2:$S$1409),S836)</f>
        <v>42.7</v>
      </c>
    </row>
    <row r="837" spans="1:20" ht="15" customHeight="1">
      <c r="A837" s="6" t="s">
        <v>872</v>
      </c>
      <c r="B837" s="7">
        <v>45663</v>
      </c>
      <c r="C837" s="6" t="s">
        <v>727</v>
      </c>
      <c r="D837" s="6" t="s">
        <v>22</v>
      </c>
      <c r="E837" s="6" t="s">
        <v>23</v>
      </c>
      <c r="F837" s="6" t="str">
        <f>IF(E837="","Unknown",E837)</f>
        <v>Desktop</v>
      </c>
      <c r="G837" s="6" t="s">
        <v>45</v>
      </c>
      <c r="H837" s="6" t="str">
        <f>IF(G837="","Unknown",G837)</f>
        <v>Social</v>
      </c>
      <c r="I837" s="6" t="s">
        <v>30</v>
      </c>
      <c r="J837" s="6">
        <v>1</v>
      </c>
      <c r="K837" s="6">
        <v>1</v>
      </c>
      <c r="L837" s="6">
        <v>1</v>
      </c>
      <c r="M837" s="6">
        <v>1</v>
      </c>
      <c r="N837" s="6">
        <v>431.27</v>
      </c>
      <c r="O837" s="6">
        <v>0</v>
      </c>
      <c r="P837" s="6">
        <f>IF(O837&gt;0,1,0)</f>
        <v>0</v>
      </c>
      <c r="Q837" s="6">
        <v>0</v>
      </c>
      <c r="R837" s="6">
        <v>7</v>
      </c>
      <c r="S837" s="6">
        <v>60.8</v>
      </c>
      <c r="T837" s="6">
        <f>IF(S837="",MEDIAN($S$2:$S$1409),S837)</f>
        <v>60.8</v>
      </c>
    </row>
    <row r="838" spans="1:20" ht="15" customHeight="1">
      <c r="A838" s="6" t="s">
        <v>873</v>
      </c>
      <c r="B838" s="7">
        <v>45771</v>
      </c>
      <c r="C838" s="6" t="s">
        <v>727</v>
      </c>
      <c r="D838" s="6" t="s">
        <v>36</v>
      </c>
      <c r="E838" s="6" t="s">
        <v>28</v>
      </c>
      <c r="F838" s="6" t="str">
        <f>IF(E838="","Unknown",E838)</f>
        <v>Mobile</v>
      </c>
      <c r="G838" s="6" t="s">
        <v>43</v>
      </c>
      <c r="H838" s="6" t="str">
        <f>IF(G838="","Unknown",G838)</f>
        <v>Referral</v>
      </c>
      <c r="I838" s="6" t="s">
        <v>30</v>
      </c>
      <c r="J838" s="6">
        <v>1</v>
      </c>
      <c r="K838" s="6">
        <v>1</v>
      </c>
      <c r="L838" s="6">
        <v>1</v>
      </c>
      <c r="M838" s="6">
        <v>1</v>
      </c>
      <c r="N838" s="6">
        <v>428.8</v>
      </c>
      <c r="O838" s="6">
        <v>0</v>
      </c>
      <c r="P838" s="6">
        <f>IF(O838&gt;0,1,0)</f>
        <v>0</v>
      </c>
      <c r="Q838" s="6">
        <v>0</v>
      </c>
      <c r="R838" s="6">
        <v>9</v>
      </c>
      <c r="S838" s="6">
        <v>79.3</v>
      </c>
      <c r="T838" s="6">
        <f>IF(S838="",MEDIAN($S$2:$S$1409),S838)</f>
        <v>79.3</v>
      </c>
    </row>
    <row r="839" spans="1:20" ht="15" customHeight="1">
      <c r="A839" s="6" t="s">
        <v>874</v>
      </c>
      <c r="B839" s="7">
        <v>45768</v>
      </c>
      <c r="C839" s="6" t="s">
        <v>727</v>
      </c>
      <c r="D839" s="6" t="s">
        <v>36</v>
      </c>
      <c r="E839" s="6" t="s">
        <v>28</v>
      </c>
      <c r="F839" s="6" t="str">
        <f>IF(E839="","Unknown",E839)</f>
        <v>Mobile</v>
      </c>
      <c r="G839" s="6" t="s">
        <v>29</v>
      </c>
      <c r="H839" s="6" t="str">
        <f>IF(G839="","Unknown",G839)</f>
        <v>Organic</v>
      </c>
      <c r="I839" s="6" t="s">
        <v>25</v>
      </c>
      <c r="J839" s="6">
        <v>1</v>
      </c>
      <c r="K839" s="6">
        <v>0</v>
      </c>
      <c r="L839" s="6">
        <v>0</v>
      </c>
      <c r="M839" s="6">
        <v>0</v>
      </c>
      <c r="N839" s="6">
        <v>0</v>
      </c>
      <c r="O839" s="6">
        <v>1</v>
      </c>
      <c r="P839" s="6">
        <f>IF(O839&gt;0,1,0)</f>
        <v>1</v>
      </c>
      <c r="Q839" s="6">
        <v>0</v>
      </c>
      <c r="S839" s="6">
        <v>88.6</v>
      </c>
      <c r="T839" s="6">
        <f>IF(S839="",MEDIAN($S$2:$S$1409),S839)</f>
        <v>88.6</v>
      </c>
    </row>
    <row r="840" spans="1:20" ht="15" customHeight="1">
      <c r="A840" s="6" t="s">
        <v>875</v>
      </c>
      <c r="B840" s="7">
        <v>45697</v>
      </c>
      <c r="C840" s="6" t="s">
        <v>727</v>
      </c>
      <c r="D840" s="6" t="s">
        <v>27</v>
      </c>
      <c r="E840" s="6" t="s">
        <v>28</v>
      </c>
      <c r="F840" s="6" t="str">
        <f>IF(E840="","Unknown",E840)</f>
        <v>Mobile</v>
      </c>
      <c r="G840" s="6" t="s">
        <v>29</v>
      </c>
      <c r="H840" s="6" t="str">
        <f>IF(G840="","Unknown",G840)</f>
        <v>Organic</v>
      </c>
      <c r="I840" s="6" t="s">
        <v>25</v>
      </c>
      <c r="J840" s="6">
        <v>1</v>
      </c>
      <c r="K840" s="6">
        <v>1</v>
      </c>
      <c r="L840" s="6">
        <v>1</v>
      </c>
      <c r="M840" s="6">
        <v>0</v>
      </c>
      <c r="N840" s="6">
        <v>0</v>
      </c>
      <c r="O840" s="6">
        <v>0</v>
      </c>
      <c r="P840" s="6">
        <f>IF(O840&gt;0,1,0)</f>
        <v>0</v>
      </c>
      <c r="Q840" s="6">
        <v>0</v>
      </c>
      <c r="S840" s="6">
        <v>63.1</v>
      </c>
      <c r="T840" s="6">
        <f>IF(S840="",MEDIAN($S$2:$S$1409),S840)</f>
        <v>63.1</v>
      </c>
    </row>
    <row r="841" spans="1:20" ht="15" customHeight="1">
      <c r="A841" s="6" t="s">
        <v>876</v>
      </c>
      <c r="B841" s="7">
        <v>45666</v>
      </c>
      <c r="C841" s="6" t="s">
        <v>727</v>
      </c>
      <c r="D841" s="6" t="s">
        <v>32</v>
      </c>
      <c r="E841" s="6" t="s">
        <v>28</v>
      </c>
      <c r="F841" s="6" t="str">
        <f>IF(E841="","Unknown",E841)</f>
        <v>Mobile</v>
      </c>
      <c r="G841" s="6" t="s">
        <v>29</v>
      </c>
      <c r="H841" s="6" t="str">
        <f>IF(G841="","Unknown",G841)</f>
        <v>Organic</v>
      </c>
      <c r="I841" s="6" t="s">
        <v>34</v>
      </c>
      <c r="J841" s="6">
        <v>1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f>IF(O841&gt;0,1,0)</f>
        <v>0</v>
      </c>
      <c r="Q841" s="6">
        <v>0</v>
      </c>
      <c r="S841" s="6">
        <v>39.700000000000003</v>
      </c>
      <c r="T841" s="6">
        <f>IF(S841="",MEDIAN($S$2:$S$1409),S841)</f>
        <v>39.700000000000003</v>
      </c>
    </row>
    <row r="842" spans="1:20" ht="15" customHeight="1">
      <c r="A842" s="6" t="s">
        <v>877</v>
      </c>
      <c r="B842" s="7">
        <v>45704</v>
      </c>
      <c r="C842" s="6" t="s">
        <v>727</v>
      </c>
      <c r="D842" s="6" t="s">
        <v>22</v>
      </c>
      <c r="E842" s="6" t="s">
        <v>28</v>
      </c>
      <c r="F842" s="6" t="str">
        <f>IF(E842="","Unknown",E842)</f>
        <v>Mobile</v>
      </c>
      <c r="G842" s="6" t="s">
        <v>33</v>
      </c>
      <c r="H842" s="6" t="str">
        <f>IF(G842="","Unknown",G842)</f>
        <v>Paid Search</v>
      </c>
      <c r="I842" s="6" t="s">
        <v>25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f>IF(O842&gt;0,1,0)</f>
        <v>0</v>
      </c>
      <c r="Q842" s="6">
        <v>0</v>
      </c>
      <c r="S842" s="6">
        <v>67.2</v>
      </c>
      <c r="T842" s="6">
        <f>IF(S842="",MEDIAN($S$2:$S$1409),S842)</f>
        <v>67.2</v>
      </c>
    </row>
    <row r="843" spans="1:20" ht="15" customHeight="1">
      <c r="A843" s="6" t="s">
        <v>878</v>
      </c>
      <c r="B843" s="7">
        <v>45709</v>
      </c>
      <c r="C843" s="6" t="s">
        <v>727</v>
      </c>
      <c r="D843" s="6" t="s">
        <v>36</v>
      </c>
      <c r="E843" s="6" t="s">
        <v>28</v>
      </c>
      <c r="F843" s="6" t="str">
        <f>IF(E843="","Unknown",E843)</f>
        <v>Mobile</v>
      </c>
      <c r="G843" s="6" t="s">
        <v>29</v>
      </c>
      <c r="H843" s="6" t="str">
        <f>IF(G843="","Unknown",G843)</f>
        <v>Organic</v>
      </c>
      <c r="I843" s="6" t="s">
        <v>30</v>
      </c>
      <c r="J843" s="6">
        <v>1</v>
      </c>
      <c r="K843" s="6">
        <v>1</v>
      </c>
      <c r="L843" s="6">
        <v>1</v>
      </c>
      <c r="M843" s="6">
        <v>0</v>
      </c>
      <c r="N843" s="6">
        <v>0</v>
      </c>
      <c r="O843" s="6">
        <v>0</v>
      </c>
      <c r="P843" s="6">
        <f>IF(O843&gt;0,1,0)</f>
        <v>0</v>
      </c>
      <c r="Q843" s="6">
        <v>0</v>
      </c>
      <c r="S843" s="6">
        <v>62.3</v>
      </c>
      <c r="T843" s="6">
        <f>IF(S843="",MEDIAN($S$2:$S$1409),S843)</f>
        <v>62.3</v>
      </c>
    </row>
    <row r="844" spans="1:20" ht="15" customHeight="1">
      <c r="A844" s="6" t="s">
        <v>879</v>
      </c>
      <c r="B844" s="7">
        <v>45696</v>
      </c>
      <c r="C844" s="6" t="s">
        <v>727</v>
      </c>
      <c r="D844" s="6" t="s">
        <v>36</v>
      </c>
      <c r="E844" s="6" t="s">
        <v>28</v>
      </c>
      <c r="F844" s="6" t="str">
        <f>IF(E844="","Unknown",E844)</f>
        <v>Mobile</v>
      </c>
      <c r="G844" s="6" t="s">
        <v>29</v>
      </c>
      <c r="H844" s="6" t="str">
        <f>IF(G844="","Unknown",G844)</f>
        <v>Organic</v>
      </c>
      <c r="I844" s="6" t="s">
        <v>34</v>
      </c>
      <c r="J844" s="6">
        <v>1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f>IF(O844&gt;0,1,0)</f>
        <v>0</v>
      </c>
      <c r="Q844" s="6">
        <v>0</v>
      </c>
      <c r="S844" s="6"/>
      <c r="T844" s="6">
        <f>IF(S844="",MEDIAN($S$2:$S$1409),S844)</f>
        <v>59.9</v>
      </c>
    </row>
    <row r="845" spans="1:20" ht="15" customHeight="1">
      <c r="A845" s="6" t="s">
        <v>880</v>
      </c>
      <c r="B845" s="7">
        <v>45679</v>
      </c>
      <c r="C845" s="6" t="s">
        <v>727</v>
      </c>
      <c r="D845" s="6" t="s">
        <v>36</v>
      </c>
      <c r="E845" s="6" t="s">
        <v>28</v>
      </c>
      <c r="F845" s="6" t="str">
        <f>IF(E845="","Unknown",E845)</f>
        <v>Mobile</v>
      </c>
      <c r="G845" s="6" t="s">
        <v>33</v>
      </c>
      <c r="H845" s="6" t="str">
        <f>IF(G845="","Unknown",G845)</f>
        <v>Paid Search</v>
      </c>
      <c r="I845" s="6" t="s">
        <v>34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f>IF(O845&gt;0,1,0)</f>
        <v>0</v>
      </c>
      <c r="Q845" s="6">
        <v>0</v>
      </c>
      <c r="S845" s="6">
        <v>60.7</v>
      </c>
      <c r="T845" s="6">
        <f>IF(S845="",MEDIAN($S$2:$S$1409),S845)</f>
        <v>60.7</v>
      </c>
    </row>
    <row r="846" spans="1:20" ht="15" customHeight="1">
      <c r="A846" s="6" t="s">
        <v>881</v>
      </c>
      <c r="B846" s="7">
        <v>45748</v>
      </c>
      <c r="C846" s="6" t="s">
        <v>727</v>
      </c>
      <c r="D846" s="6" t="s">
        <v>27</v>
      </c>
      <c r="E846" s="6" t="s">
        <v>28</v>
      </c>
      <c r="F846" s="6" t="str">
        <f>IF(E846="","Unknown",E846)</f>
        <v>Mobile</v>
      </c>
      <c r="G846" s="6" t="s">
        <v>29</v>
      </c>
      <c r="H846" s="6" t="str">
        <f>IF(G846="","Unknown",G846)</f>
        <v>Organic</v>
      </c>
      <c r="I846" s="6" t="s">
        <v>25</v>
      </c>
      <c r="J846" s="6">
        <v>1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f>IF(O846&gt;0,1,0)</f>
        <v>0</v>
      </c>
      <c r="Q846" s="6">
        <v>0</v>
      </c>
      <c r="S846" s="6">
        <v>61.5</v>
      </c>
      <c r="T846" s="6">
        <f>IF(S846="",MEDIAN($S$2:$S$1409),S846)</f>
        <v>61.5</v>
      </c>
    </row>
    <row r="847" spans="1:20" ht="15" customHeight="1">
      <c r="A847" s="6" t="s">
        <v>882</v>
      </c>
      <c r="B847" s="7">
        <v>45678</v>
      </c>
      <c r="C847" s="6" t="s">
        <v>727</v>
      </c>
      <c r="D847" s="6" t="s">
        <v>22</v>
      </c>
      <c r="E847" s="6" t="s">
        <v>28</v>
      </c>
      <c r="F847" s="6" t="str">
        <f>IF(E847="","Unknown",E847)</f>
        <v>Mobile</v>
      </c>
      <c r="G847" s="6" t="s">
        <v>33</v>
      </c>
      <c r="H847" s="6" t="str">
        <f>IF(G847="","Unknown",G847)</f>
        <v>Paid Search</v>
      </c>
      <c r="I847" s="6" t="s">
        <v>25</v>
      </c>
      <c r="J847" s="6">
        <v>1</v>
      </c>
      <c r="K847" s="6">
        <v>0</v>
      </c>
      <c r="L847" s="6">
        <v>0</v>
      </c>
      <c r="M847" s="6">
        <v>0</v>
      </c>
      <c r="N847" s="6">
        <v>0</v>
      </c>
      <c r="O847" s="6">
        <v>0</v>
      </c>
      <c r="P847" s="6">
        <f>IF(O847&gt;0,1,0)</f>
        <v>0</v>
      </c>
      <c r="Q847" s="6">
        <v>0</v>
      </c>
      <c r="S847" s="6">
        <v>75</v>
      </c>
      <c r="T847" s="6">
        <f>IF(S847="",MEDIAN($S$2:$S$1409),S847)</f>
        <v>75</v>
      </c>
    </row>
    <row r="848" spans="1:20" ht="15" customHeight="1">
      <c r="A848" s="6" t="s">
        <v>883</v>
      </c>
      <c r="B848" s="7">
        <v>45659</v>
      </c>
      <c r="C848" s="6" t="s">
        <v>727</v>
      </c>
      <c r="D848" s="6" t="s">
        <v>32</v>
      </c>
      <c r="E848" s="6" t="s">
        <v>23</v>
      </c>
      <c r="F848" s="6" t="str">
        <f>IF(E848="","Unknown",E848)</f>
        <v>Desktop</v>
      </c>
      <c r="G848" s="6" t="s">
        <v>29</v>
      </c>
      <c r="H848" s="6" t="str">
        <f>IF(G848="","Unknown",G848)</f>
        <v>Organic</v>
      </c>
      <c r="I848" s="6" t="s">
        <v>30</v>
      </c>
      <c r="J848" s="6">
        <v>1</v>
      </c>
      <c r="K848" s="6">
        <v>1</v>
      </c>
      <c r="L848" s="6">
        <v>0</v>
      </c>
      <c r="M848" s="6">
        <v>0</v>
      </c>
      <c r="N848" s="6">
        <v>0</v>
      </c>
      <c r="O848" s="6">
        <v>0</v>
      </c>
      <c r="P848" s="6">
        <f>IF(O848&gt;0,1,0)</f>
        <v>0</v>
      </c>
      <c r="Q848" s="6">
        <v>0</v>
      </c>
      <c r="S848" s="6">
        <v>51.9</v>
      </c>
      <c r="T848" s="6">
        <f>IF(S848="",MEDIAN($S$2:$S$1409),S848)</f>
        <v>51.9</v>
      </c>
    </row>
    <row r="849" spans="1:20" ht="15" customHeight="1">
      <c r="A849" s="6" t="s">
        <v>884</v>
      </c>
      <c r="B849" s="7">
        <v>45789</v>
      </c>
      <c r="C849" s="6" t="s">
        <v>727</v>
      </c>
      <c r="D849" s="6" t="s">
        <v>36</v>
      </c>
      <c r="E849" s="6" t="s">
        <v>23</v>
      </c>
      <c r="F849" s="6" t="str">
        <f>IF(E849="","Unknown",E849)</f>
        <v>Desktop</v>
      </c>
      <c r="G849" s="6" t="s">
        <v>33</v>
      </c>
      <c r="H849" s="6" t="str">
        <f>IF(G849="","Unknown",G849)</f>
        <v>Paid Search</v>
      </c>
      <c r="I849" s="6" t="s">
        <v>30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>
        <f>IF(O849&gt;0,1,0)</f>
        <v>0</v>
      </c>
      <c r="Q849" s="6">
        <v>0</v>
      </c>
      <c r="S849" s="6">
        <v>34.5</v>
      </c>
      <c r="T849" s="6">
        <f>IF(S849="",MEDIAN($S$2:$S$1409),S849)</f>
        <v>34.5</v>
      </c>
    </row>
    <row r="850" spans="1:20" ht="15" customHeight="1">
      <c r="A850" s="6" t="s">
        <v>885</v>
      </c>
      <c r="B850" s="7">
        <v>45721</v>
      </c>
      <c r="C850" s="6" t="s">
        <v>727</v>
      </c>
      <c r="D850" s="6" t="s">
        <v>36</v>
      </c>
      <c r="E850" s="6" t="s">
        <v>28</v>
      </c>
      <c r="F850" s="6" t="str">
        <f>IF(E850="","Unknown",E850)</f>
        <v>Mobile</v>
      </c>
      <c r="G850" s="6" t="s">
        <v>45</v>
      </c>
      <c r="H850" s="6" t="str">
        <f>IF(G850="","Unknown",G850)</f>
        <v>Social</v>
      </c>
      <c r="I850" s="6" t="s">
        <v>25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f>IF(O850&gt;0,1,0)</f>
        <v>0</v>
      </c>
      <c r="Q850" s="6">
        <v>0</v>
      </c>
      <c r="S850" s="6">
        <v>54.5</v>
      </c>
      <c r="T850" s="6">
        <f>IF(S850="",MEDIAN($S$2:$S$1409),S850)</f>
        <v>54.5</v>
      </c>
    </row>
    <row r="851" spans="1:20" ht="15" customHeight="1">
      <c r="A851" s="6" t="s">
        <v>886</v>
      </c>
      <c r="B851" s="7">
        <v>45681</v>
      </c>
      <c r="C851" s="6" t="s">
        <v>727</v>
      </c>
      <c r="D851" s="6" t="s">
        <v>32</v>
      </c>
      <c r="E851" s="6" t="s">
        <v>28</v>
      </c>
      <c r="F851" s="6" t="str">
        <f>IF(E851="","Unknown",E851)</f>
        <v>Mobile</v>
      </c>
      <c r="G851" s="6" t="s">
        <v>29</v>
      </c>
      <c r="H851" s="6" t="str">
        <f>IF(G851="","Unknown",G851)</f>
        <v>Organic</v>
      </c>
      <c r="I851" s="6" t="s">
        <v>30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  <c r="O851" s="6">
        <v>0</v>
      </c>
      <c r="P851" s="6">
        <f>IF(O851&gt;0,1,0)</f>
        <v>0</v>
      </c>
      <c r="Q851" s="6">
        <v>0</v>
      </c>
      <c r="S851" s="6">
        <v>46</v>
      </c>
      <c r="T851" s="6">
        <f>IF(S851="",MEDIAN($S$2:$S$1409),S851)</f>
        <v>46</v>
      </c>
    </row>
    <row r="852" spans="1:20" ht="15" customHeight="1">
      <c r="A852" s="6" t="s">
        <v>887</v>
      </c>
      <c r="B852" s="7">
        <v>45688</v>
      </c>
      <c r="C852" s="6" t="s">
        <v>727</v>
      </c>
      <c r="D852" s="6" t="s">
        <v>32</v>
      </c>
      <c r="E852" s="6" t="s">
        <v>23</v>
      </c>
      <c r="F852" s="6" t="str">
        <f>IF(E852="","Unknown",E852)</f>
        <v>Desktop</v>
      </c>
      <c r="G852" s="6" t="s">
        <v>24</v>
      </c>
      <c r="H852" s="6" t="str">
        <f>IF(G852="","Unknown",G852)</f>
        <v>Email</v>
      </c>
      <c r="I852" s="6" t="s">
        <v>30</v>
      </c>
      <c r="J852" s="6">
        <v>1</v>
      </c>
      <c r="K852" s="6">
        <v>1</v>
      </c>
      <c r="L852" s="6">
        <v>1</v>
      </c>
      <c r="M852" s="6">
        <v>0</v>
      </c>
      <c r="N852" s="6">
        <v>0</v>
      </c>
      <c r="O852" s="6">
        <v>0</v>
      </c>
      <c r="P852" s="6">
        <f>IF(O852&gt;0,1,0)</f>
        <v>0</v>
      </c>
      <c r="Q852" s="6">
        <v>0</v>
      </c>
      <c r="S852" s="6">
        <v>88.4</v>
      </c>
      <c r="T852" s="6">
        <f>IF(S852="",MEDIAN($S$2:$S$1409),S852)</f>
        <v>88.4</v>
      </c>
    </row>
    <row r="853" spans="1:20" ht="15" customHeight="1">
      <c r="A853" s="6" t="s">
        <v>888</v>
      </c>
      <c r="B853" s="7">
        <v>45681</v>
      </c>
      <c r="C853" s="6" t="s">
        <v>727</v>
      </c>
      <c r="D853" s="6" t="s">
        <v>22</v>
      </c>
      <c r="E853" s="6" t="s">
        <v>38</v>
      </c>
      <c r="F853" s="6" t="str">
        <f>IF(E853="","Unknown",E853)</f>
        <v>Tablet</v>
      </c>
      <c r="G853" s="6" t="s">
        <v>29</v>
      </c>
      <c r="H853" s="6" t="str">
        <f>IF(G853="","Unknown",G853)</f>
        <v>Organic</v>
      </c>
      <c r="I853" s="6" t="s">
        <v>25</v>
      </c>
      <c r="J853" s="6">
        <v>1</v>
      </c>
      <c r="K853" s="6">
        <v>0</v>
      </c>
      <c r="L853" s="6">
        <v>0</v>
      </c>
      <c r="M853" s="6">
        <v>0</v>
      </c>
      <c r="N853" s="6">
        <v>0</v>
      </c>
      <c r="O853" s="6">
        <v>0</v>
      </c>
      <c r="P853" s="6">
        <f>IF(O853&gt;0,1,0)</f>
        <v>0</v>
      </c>
      <c r="Q853" s="6">
        <v>0</v>
      </c>
      <c r="S853" s="6">
        <v>69.5</v>
      </c>
      <c r="T853" s="6">
        <f>IF(S853="",MEDIAN($S$2:$S$1409),S853)</f>
        <v>69.5</v>
      </c>
    </row>
    <row r="854" spans="1:20" ht="15" customHeight="1">
      <c r="A854" s="6" t="s">
        <v>889</v>
      </c>
      <c r="B854" s="7">
        <v>45702</v>
      </c>
      <c r="C854" s="6" t="s">
        <v>727</v>
      </c>
      <c r="D854" s="6" t="s">
        <v>22</v>
      </c>
      <c r="E854" s="6" t="s">
        <v>23</v>
      </c>
      <c r="F854" s="6" t="str">
        <f>IF(E854="","Unknown",E854)</f>
        <v>Desktop</v>
      </c>
      <c r="G854" s="6" t="s">
        <v>43</v>
      </c>
      <c r="H854" s="6" t="str">
        <f>IF(G854="","Unknown",G854)</f>
        <v>Referral</v>
      </c>
      <c r="I854" s="6" t="s">
        <v>25</v>
      </c>
      <c r="J854" s="6">
        <v>1</v>
      </c>
      <c r="K854" s="6">
        <v>1</v>
      </c>
      <c r="L854" s="6">
        <v>1</v>
      </c>
      <c r="M854" s="6">
        <v>0</v>
      </c>
      <c r="N854" s="6">
        <v>0</v>
      </c>
      <c r="O854" s="6">
        <v>0</v>
      </c>
      <c r="P854" s="6">
        <f>IF(O854&gt;0,1,0)</f>
        <v>0</v>
      </c>
      <c r="Q854" s="6">
        <v>0</v>
      </c>
      <c r="S854" s="6">
        <v>74.2</v>
      </c>
      <c r="T854" s="6">
        <f>IF(S854="",MEDIAN($S$2:$S$1409),S854)</f>
        <v>74.2</v>
      </c>
    </row>
    <row r="855" spans="1:20" ht="15" customHeight="1">
      <c r="A855" s="6" t="s">
        <v>890</v>
      </c>
      <c r="B855" s="7">
        <v>45804</v>
      </c>
      <c r="C855" s="6" t="s">
        <v>727</v>
      </c>
      <c r="D855" s="6" t="s">
        <v>22</v>
      </c>
      <c r="E855" s="6" t="s">
        <v>28</v>
      </c>
      <c r="F855" s="6" t="str">
        <f>IF(E855="","Unknown",E855)</f>
        <v>Mobile</v>
      </c>
      <c r="G855" s="6" t="s">
        <v>29</v>
      </c>
      <c r="H855" s="6" t="str">
        <f>IF(G855="","Unknown",G855)</f>
        <v>Organic</v>
      </c>
      <c r="I855" s="6" t="s">
        <v>30</v>
      </c>
      <c r="J855" s="6">
        <v>1</v>
      </c>
      <c r="K855" s="6">
        <v>1</v>
      </c>
      <c r="L855" s="6">
        <v>1</v>
      </c>
      <c r="M855" s="6">
        <v>0</v>
      </c>
      <c r="N855" s="6">
        <v>0</v>
      </c>
      <c r="O855" s="6">
        <v>0</v>
      </c>
      <c r="P855" s="6">
        <f>IF(O855&gt;0,1,0)</f>
        <v>0</v>
      </c>
      <c r="Q855" s="6">
        <v>0</v>
      </c>
      <c r="S855" s="6">
        <v>72.099999999999994</v>
      </c>
      <c r="T855" s="6">
        <f>IF(S855="",MEDIAN($S$2:$S$1409),S855)</f>
        <v>72.099999999999994</v>
      </c>
    </row>
    <row r="856" spans="1:20" ht="15" customHeight="1">
      <c r="A856" s="6" t="s">
        <v>891</v>
      </c>
      <c r="B856" s="7">
        <v>45716</v>
      </c>
      <c r="C856" s="6" t="s">
        <v>727</v>
      </c>
      <c r="D856" s="6" t="s">
        <v>22</v>
      </c>
      <c r="E856" s="6" t="s">
        <v>28</v>
      </c>
      <c r="F856" s="6" t="str">
        <f>IF(E856="","Unknown",E856)</f>
        <v>Mobile</v>
      </c>
      <c r="G856" s="6" t="s">
        <v>33</v>
      </c>
      <c r="H856" s="6" t="str">
        <f>IF(G856="","Unknown",G856)</f>
        <v>Paid Search</v>
      </c>
      <c r="I856" s="6" t="s">
        <v>30</v>
      </c>
      <c r="J856" s="6">
        <v>1</v>
      </c>
      <c r="K856" s="6">
        <v>1</v>
      </c>
      <c r="L856" s="6">
        <v>1</v>
      </c>
      <c r="M856" s="6">
        <v>1</v>
      </c>
      <c r="N856" s="6">
        <v>398.33</v>
      </c>
      <c r="O856" s="6">
        <v>0</v>
      </c>
      <c r="P856" s="6">
        <f>IF(O856&gt;0,1,0)</f>
        <v>0</v>
      </c>
      <c r="Q856" s="6">
        <v>0</v>
      </c>
      <c r="R856" s="6">
        <v>5</v>
      </c>
      <c r="S856" s="6">
        <v>85.1</v>
      </c>
      <c r="T856" s="6">
        <f>IF(S856="",MEDIAN($S$2:$S$1409),S856)</f>
        <v>85.1</v>
      </c>
    </row>
    <row r="857" spans="1:20" ht="15" customHeight="1">
      <c r="A857" s="6" t="s">
        <v>892</v>
      </c>
      <c r="B857" s="7">
        <v>45804</v>
      </c>
      <c r="C857" s="6" t="s">
        <v>727</v>
      </c>
      <c r="D857" s="6" t="s">
        <v>22</v>
      </c>
      <c r="E857" s="6" t="s">
        <v>28</v>
      </c>
      <c r="F857" s="6" t="str">
        <f>IF(E857="","Unknown",E857)</f>
        <v>Mobile</v>
      </c>
      <c r="G857" s="6" t="s">
        <v>29</v>
      </c>
      <c r="H857" s="6" t="str">
        <f>IF(G857="","Unknown",G857)</f>
        <v>Organic</v>
      </c>
      <c r="I857" s="6" t="s">
        <v>25</v>
      </c>
      <c r="J857" s="6">
        <v>1</v>
      </c>
      <c r="K857" s="6">
        <v>1</v>
      </c>
      <c r="L857" s="6">
        <v>1</v>
      </c>
      <c r="M857" s="6">
        <v>0</v>
      </c>
      <c r="N857" s="6">
        <v>0</v>
      </c>
      <c r="O857" s="6">
        <v>0</v>
      </c>
      <c r="P857" s="6">
        <f>IF(O857&gt;0,1,0)</f>
        <v>0</v>
      </c>
      <c r="Q857" s="6">
        <v>0</v>
      </c>
      <c r="S857" s="6">
        <v>49.5</v>
      </c>
      <c r="T857" s="6">
        <f>IF(S857="",MEDIAN($S$2:$S$1409),S857)</f>
        <v>49.5</v>
      </c>
    </row>
    <row r="858" spans="1:20" ht="15" customHeight="1">
      <c r="A858" s="6" t="s">
        <v>893</v>
      </c>
      <c r="B858" s="7">
        <v>45794</v>
      </c>
      <c r="C858" s="6" t="s">
        <v>727</v>
      </c>
      <c r="D858" s="6" t="s">
        <v>36</v>
      </c>
      <c r="E858" s="6" t="s">
        <v>28</v>
      </c>
      <c r="F858" s="6" t="str">
        <f>IF(E858="","Unknown",E858)</f>
        <v>Mobile</v>
      </c>
      <c r="G858" s="6" t="s">
        <v>33</v>
      </c>
      <c r="H858" s="6" t="str">
        <f>IF(G858="","Unknown",G858)</f>
        <v>Paid Search</v>
      </c>
      <c r="I858" s="6" t="s">
        <v>34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1</v>
      </c>
      <c r="P858" s="6">
        <f>IF(O858&gt;0,1,0)</f>
        <v>1</v>
      </c>
      <c r="Q858" s="6">
        <v>0</v>
      </c>
      <c r="S858" s="6">
        <v>79</v>
      </c>
      <c r="T858" s="6">
        <f>IF(S858="",MEDIAN($S$2:$S$1409),S858)</f>
        <v>79</v>
      </c>
    </row>
    <row r="859" spans="1:20" ht="15" customHeight="1">
      <c r="A859" s="6" t="s">
        <v>894</v>
      </c>
      <c r="B859" s="7">
        <v>45667</v>
      </c>
      <c r="C859" s="6" t="s">
        <v>727</v>
      </c>
      <c r="D859" s="6" t="s">
        <v>27</v>
      </c>
      <c r="E859" s="6" t="s">
        <v>23</v>
      </c>
      <c r="F859" s="6" t="str">
        <f>IF(E859="","Unknown",E859)</f>
        <v>Desktop</v>
      </c>
      <c r="G859" s="6" t="s">
        <v>45</v>
      </c>
      <c r="H859" s="6" t="str">
        <f>IF(G859="","Unknown",G859)</f>
        <v>Social</v>
      </c>
      <c r="I859" s="6" t="s">
        <v>30</v>
      </c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6">
        <v>0</v>
      </c>
      <c r="P859" s="6">
        <f>IF(O859&gt;0,1,0)</f>
        <v>0</v>
      </c>
      <c r="Q859" s="6">
        <v>0</v>
      </c>
      <c r="S859" s="6">
        <v>71.8</v>
      </c>
      <c r="T859" s="6">
        <f>IF(S859="",MEDIAN($S$2:$S$1409),S859)</f>
        <v>71.8</v>
      </c>
    </row>
    <row r="860" spans="1:20" ht="15" customHeight="1">
      <c r="A860" s="6" t="s">
        <v>895</v>
      </c>
      <c r="B860" s="7">
        <v>45769</v>
      </c>
      <c r="C860" s="6" t="s">
        <v>727</v>
      </c>
      <c r="D860" s="6" t="s">
        <v>22</v>
      </c>
      <c r="E860" s="6" t="s">
        <v>28</v>
      </c>
      <c r="F860" s="6" t="str">
        <f>IF(E860="","Unknown",E860)</f>
        <v>Mobile</v>
      </c>
      <c r="G860" s="6" t="s">
        <v>24</v>
      </c>
      <c r="H860" s="6" t="str">
        <f>IF(G860="","Unknown",G860)</f>
        <v>Email</v>
      </c>
      <c r="I860" s="6" t="s">
        <v>25</v>
      </c>
      <c r="J860" s="6">
        <v>1</v>
      </c>
      <c r="K860" s="6">
        <v>1</v>
      </c>
      <c r="L860" s="6">
        <v>1</v>
      </c>
      <c r="M860" s="6">
        <v>1</v>
      </c>
      <c r="N860" s="6">
        <v>1117.54</v>
      </c>
      <c r="O860" s="6">
        <v>0</v>
      </c>
      <c r="P860" s="6">
        <f>IF(O860&gt;0,1,0)</f>
        <v>0</v>
      </c>
      <c r="Q860" s="6">
        <v>0</v>
      </c>
      <c r="R860" s="6">
        <v>6</v>
      </c>
      <c r="S860" s="6">
        <v>60.4</v>
      </c>
      <c r="T860" s="6">
        <f>IF(S860="",MEDIAN($S$2:$S$1409),S860)</f>
        <v>60.4</v>
      </c>
    </row>
    <row r="861" spans="1:20" ht="15" customHeight="1">
      <c r="A861" s="6" t="s">
        <v>896</v>
      </c>
      <c r="B861" s="7">
        <v>45718</v>
      </c>
      <c r="C861" s="6" t="s">
        <v>727</v>
      </c>
      <c r="D861" s="6" t="s">
        <v>36</v>
      </c>
      <c r="E861" s="6" t="s">
        <v>23</v>
      </c>
      <c r="F861" s="6" t="str">
        <f>IF(E861="","Unknown",E861)</f>
        <v>Desktop</v>
      </c>
      <c r="G861" s="6" t="s">
        <v>29</v>
      </c>
      <c r="H861" s="6" t="str">
        <f>IF(G861="","Unknown",G861)</f>
        <v>Organic</v>
      </c>
      <c r="I861" s="6" t="s">
        <v>25</v>
      </c>
      <c r="J861" s="6">
        <v>1</v>
      </c>
      <c r="K861" s="6">
        <v>0</v>
      </c>
      <c r="L861" s="6">
        <v>0</v>
      </c>
      <c r="M861" s="6">
        <v>0</v>
      </c>
      <c r="N861" s="6">
        <v>0</v>
      </c>
      <c r="O861" s="6">
        <v>2</v>
      </c>
      <c r="P861" s="6">
        <f>IF(O861&gt;0,1,0)</f>
        <v>1</v>
      </c>
      <c r="Q861" s="6">
        <v>0</v>
      </c>
      <c r="S861" s="6">
        <v>38.299999999999997</v>
      </c>
      <c r="T861" s="6">
        <f>IF(S861="",MEDIAN($S$2:$S$1409),S861)</f>
        <v>38.299999999999997</v>
      </c>
    </row>
    <row r="862" spans="1:20" ht="15" customHeight="1">
      <c r="A862" s="6" t="s">
        <v>897</v>
      </c>
      <c r="B862" s="7">
        <v>45739</v>
      </c>
      <c r="C862" s="6" t="s">
        <v>727</v>
      </c>
      <c r="D862" s="6" t="s">
        <v>32</v>
      </c>
      <c r="E862" s="6" t="s">
        <v>28</v>
      </c>
      <c r="F862" s="6" t="str">
        <f>IF(E862="","Unknown",E862)</f>
        <v>Mobile</v>
      </c>
      <c r="G862" s="6" t="s">
        <v>33</v>
      </c>
      <c r="H862" s="6" t="str">
        <f>IF(G862="","Unknown",G862)</f>
        <v>Paid Search</v>
      </c>
      <c r="I862" s="6" t="s">
        <v>30</v>
      </c>
      <c r="J862" s="6">
        <v>1</v>
      </c>
      <c r="K862" s="6">
        <v>1</v>
      </c>
      <c r="L862" s="6">
        <v>1</v>
      </c>
      <c r="M862" s="6">
        <v>0</v>
      </c>
      <c r="N862" s="6">
        <v>0</v>
      </c>
      <c r="O862" s="6">
        <v>0</v>
      </c>
      <c r="P862" s="6">
        <f>IF(O862&gt;0,1,0)</f>
        <v>0</v>
      </c>
      <c r="Q862" s="6">
        <v>0</v>
      </c>
      <c r="S862" s="6">
        <v>79.599999999999994</v>
      </c>
      <c r="T862" s="6">
        <f>IF(S862="",MEDIAN($S$2:$S$1409),S862)</f>
        <v>79.599999999999994</v>
      </c>
    </row>
    <row r="863" spans="1:20" ht="15" customHeight="1">
      <c r="A863" s="6" t="s">
        <v>898</v>
      </c>
      <c r="B863" s="7">
        <v>45700</v>
      </c>
      <c r="C863" s="6" t="s">
        <v>727</v>
      </c>
      <c r="D863" s="6" t="s">
        <v>32</v>
      </c>
      <c r="E863" s="6" t="s">
        <v>28</v>
      </c>
      <c r="F863" s="6" t="str">
        <f>IF(E863="","Unknown",E863)</f>
        <v>Mobile</v>
      </c>
      <c r="G863" s="6" t="s">
        <v>24</v>
      </c>
      <c r="H863" s="6" t="str">
        <f>IF(G863="","Unknown",G863)</f>
        <v>Email</v>
      </c>
      <c r="I863" s="6" t="s">
        <v>30</v>
      </c>
      <c r="J863" s="6">
        <v>1</v>
      </c>
      <c r="K863" s="6">
        <v>1</v>
      </c>
      <c r="L863" s="6">
        <v>1</v>
      </c>
      <c r="M863" s="6">
        <v>0</v>
      </c>
      <c r="N863" s="6">
        <v>0</v>
      </c>
      <c r="O863" s="6">
        <v>0</v>
      </c>
      <c r="P863" s="6">
        <f>IF(O863&gt;0,1,0)</f>
        <v>0</v>
      </c>
      <c r="Q863" s="6">
        <v>0</v>
      </c>
      <c r="S863" s="6">
        <v>71.900000000000006</v>
      </c>
      <c r="T863" s="6">
        <f>IF(S863="",MEDIAN($S$2:$S$1409),S863)</f>
        <v>71.900000000000006</v>
      </c>
    </row>
    <row r="864" spans="1:20" ht="15" customHeight="1">
      <c r="A864" s="6" t="s">
        <v>899</v>
      </c>
      <c r="B864" s="7">
        <v>45780</v>
      </c>
      <c r="C864" s="6" t="s">
        <v>727</v>
      </c>
      <c r="D864" s="6" t="s">
        <v>36</v>
      </c>
      <c r="E864" s="6" t="s">
        <v>28</v>
      </c>
      <c r="F864" s="6" t="str">
        <f>IF(E864="","Unknown",E864)</f>
        <v>Mobile</v>
      </c>
      <c r="G864" s="6" t="s">
        <v>43</v>
      </c>
      <c r="H864" s="6" t="str">
        <f>IF(G864="","Unknown",G864)</f>
        <v>Referral</v>
      </c>
      <c r="I864" s="6" t="s">
        <v>25</v>
      </c>
      <c r="J864" s="6">
        <v>1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f>IF(O864&gt;0,1,0)</f>
        <v>0</v>
      </c>
      <c r="Q864" s="6">
        <v>0</v>
      </c>
      <c r="S864" s="6">
        <v>54.6</v>
      </c>
      <c r="T864" s="6">
        <f>IF(S864="",MEDIAN($S$2:$S$1409),S864)</f>
        <v>54.6</v>
      </c>
    </row>
    <row r="865" spans="1:20" ht="15" customHeight="1">
      <c r="A865" s="6" t="s">
        <v>900</v>
      </c>
      <c r="B865" s="7">
        <v>45744</v>
      </c>
      <c r="C865" s="6" t="s">
        <v>727</v>
      </c>
      <c r="D865" s="6" t="s">
        <v>22</v>
      </c>
      <c r="E865" s="6" t="s">
        <v>23</v>
      </c>
      <c r="F865" s="6" t="str">
        <f>IF(E865="","Unknown",E865)</f>
        <v>Desktop</v>
      </c>
      <c r="G865" s="6" t="s">
        <v>45</v>
      </c>
      <c r="H865" s="6" t="str">
        <f>IF(G865="","Unknown",G865)</f>
        <v>Social</v>
      </c>
      <c r="I865" s="6" t="s">
        <v>30</v>
      </c>
      <c r="J865" s="6">
        <v>1</v>
      </c>
      <c r="K865" s="6">
        <v>0</v>
      </c>
      <c r="L865" s="6">
        <v>0</v>
      </c>
      <c r="M865" s="6">
        <v>0</v>
      </c>
      <c r="N865" s="6">
        <v>0</v>
      </c>
      <c r="O865" s="6">
        <v>3</v>
      </c>
      <c r="P865" s="6">
        <f>IF(O865&gt;0,1,0)</f>
        <v>1</v>
      </c>
      <c r="Q865" s="6">
        <v>0</v>
      </c>
      <c r="S865" s="6">
        <v>49.3</v>
      </c>
      <c r="T865" s="6">
        <f>IF(S865="",MEDIAN($S$2:$S$1409),S865)</f>
        <v>49.3</v>
      </c>
    </row>
    <row r="866" spans="1:20" ht="15" customHeight="1">
      <c r="A866" s="6" t="s">
        <v>901</v>
      </c>
      <c r="B866" s="7">
        <v>45728</v>
      </c>
      <c r="C866" s="6" t="s">
        <v>727</v>
      </c>
      <c r="D866" s="6" t="s">
        <v>22</v>
      </c>
      <c r="E866" s="6" t="s">
        <v>28</v>
      </c>
      <c r="F866" s="6" t="str">
        <f>IF(E866="","Unknown",E866)</f>
        <v>Mobile</v>
      </c>
      <c r="G866" s="6" t="s">
        <v>45</v>
      </c>
      <c r="H866" s="6" t="str">
        <f>IF(G866="","Unknown",G866)</f>
        <v>Social</v>
      </c>
      <c r="I866" s="6" t="s">
        <v>25</v>
      </c>
      <c r="J866" s="6">
        <v>0</v>
      </c>
      <c r="K866" s="6">
        <v>0</v>
      </c>
      <c r="L866" s="6">
        <v>0</v>
      </c>
      <c r="M866" s="6">
        <v>0</v>
      </c>
      <c r="N866" s="6">
        <v>0</v>
      </c>
      <c r="O866" s="6">
        <v>1</v>
      </c>
      <c r="P866" s="6">
        <f>IF(O866&gt;0,1,0)</f>
        <v>1</v>
      </c>
      <c r="Q866" s="6">
        <v>0</v>
      </c>
      <c r="S866" s="6">
        <v>66.900000000000006</v>
      </c>
      <c r="T866" s="6">
        <f>IF(S866="",MEDIAN($S$2:$S$1409),S866)</f>
        <v>66.900000000000006</v>
      </c>
    </row>
    <row r="867" spans="1:20" ht="15" customHeight="1">
      <c r="A867" s="6" t="s">
        <v>902</v>
      </c>
      <c r="B867" s="7">
        <v>45774</v>
      </c>
      <c r="C867" s="6" t="s">
        <v>727</v>
      </c>
      <c r="D867" s="6" t="s">
        <v>32</v>
      </c>
      <c r="E867" s="6" t="s">
        <v>28</v>
      </c>
      <c r="F867" s="6" t="str">
        <f>IF(E867="","Unknown",E867)</f>
        <v>Mobile</v>
      </c>
      <c r="G867" s="6" t="s">
        <v>33</v>
      </c>
      <c r="H867" s="6" t="str">
        <f>IF(G867="","Unknown",G867)</f>
        <v>Paid Search</v>
      </c>
      <c r="I867" s="6" t="s">
        <v>30</v>
      </c>
      <c r="J867" s="6">
        <v>1</v>
      </c>
      <c r="K867" s="6">
        <v>0</v>
      </c>
      <c r="L867" s="6">
        <v>0</v>
      </c>
      <c r="M867" s="6">
        <v>0</v>
      </c>
      <c r="N867" s="6">
        <v>0</v>
      </c>
      <c r="O867" s="6">
        <v>1</v>
      </c>
      <c r="P867" s="6">
        <f>IF(O867&gt;0,1,0)</f>
        <v>1</v>
      </c>
      <c r="Q867" s="6">
        <v>0</v>
      </c>
      <c r="S867" s="6">
        <v>77.8</v>
      </c>
      <c r="T867" s="6">
        <f>IF(S867="",MEDIAN($S$2:$S$1409),S867)</f>
        <v>77.8</v>
      </c>
    </row>
    <row r="868" spans="1:20" ht="15" customHeight="1">
      <c r="A868" s="6" t="s">
        <v>903</v>
      </c>
      <c r="B868" s="7">
        <v>45749</v>
      </c>
      <c r="C868" s="6" t="s">
        <v>727</v>
      </c>
      <c r="D868" s="6" t="s">
        <v>36</v>
      </c>
      <c r="E868" s="6" t="s">
        <v>28</v>
      </c>
      <c r="F868" s="6" t="str">
        <f>IF(E868="","Unknown",E868)</f>
        <v>Mobile</v>
      </c>
      <c r="G868" s="6" t="s">
        <v>43</v>
      </c>
      <c r="H868" s="6" t="str">
        <f>IF(G868="","Unknown",G868)</f>
        <v>Referral</v>
      </c>
      <c r="I868" s="6" t="s">
        <v>25</v>
      </c>
      <c r="J868" s="6">
        <v>1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f>IF(O868&gt;0,1,0)</f>
        <v>0</v>
      </c>
      <c r="Q868" s="6">
        <v>0</v>
      </c>
      <c r="S868" s="6">
        <v>63</v>
      </c>
      <c r="T868" s="6">
        <f>IF(S868="",MEDIAN($S$2:$S$1409),S868)</f>
        <v>63</v>
      </c>
    </row>
    <row r="869" spans="1:20" ht="15" customHeight="1">
      <c r="A869" s="6" t="s">
        <v>904</v>
      </c>
      <c r="B869" s="7">
        <v>45768</v>
      </c>
      <c r="C869" s="6" t="s">
        <v>727</v>
      </c>
      <c r="D869" s="6" t="s">
        <v>22</v>
      </c>
      <c r="E869" s="6" t="s">
        <v>28</v>
      </c>
      <c r="F869" s="6" t="str">
        <f>IF(E869="","Unknown",E869)</f>
        <v>Mobile</v>
      </c>
      <c r="G869" s="6" t="s">
        <v>45</v>
      </c>
      <c r="H869" s="6" t="str">
        <f>IF(G869="","Unknown",G869)</f>
        <v>Social</v>
      </c>
      <c r="I869" s="6" t="s">
        <v>30</v>
      </c>
      <c r="J869" s="6">
        <v>0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>
        <f>IF(O869&gt;0,1,0)</f>
        <v>0</v>
      </c>
      <c r="Q869" s="6">
        <v>0</v>
      </c>
      <c r="S869" s="6">
        <v>79.8</v>
      </c>
      <c r="T869" s="6">
        <f>IF(S869="",MEDIAN($S$2:$S$1409),S869)</f>
        <v>79.8</v>
      </c>
    </row>
    <row r="870" spans="1:20" ht="15" customHeight="1">
      <c r="A870" s="6" t="s">
        <v>905</v>
      </c>
      <c r="B870" s="7">
        <v>45683</v>
      </c>
      <c r="C870" s="6" t="s">
        <v>727</v>
      </c>
      <c r="D870" s="6" t="s">
        <v>27</v>
      </c>
      <c r="E870" s="6" t="s">
        <v>23</v>
      </c>
      <c r="F870" s="6" t="str">
        <f>IF(E870="","Unknown",E870)</f>
        <v>Desktop</v>
      </c>
      <c r="G870" s="6" t="s">
        <v>29</v>
      </c>
      <c r="H870" s="6" t="str">
        <f>IF(G870="","Unknown",G870)</f>
        <v>Organic</v>
      </c>
      <c r="I870" s="6" t="s">
        <v>25</v>
      </c>
      <c r="J870" s="6">
        <v>0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f>IF(O870&gt;0,1,0)</f>
        <v>0</v>
      </c>
      <c r="Q870" s="6">
        <v>0</v>
      </c>
      <c r="S870" s="6">
        <v>69.900000000000006</v>
      </c>
      <c r="T870" s="6">
        <f>IF(S870="",MEDIAN($S$2:$S$1409),S870)</f>
        <v>69.900000000000006</v>
      </c>
    </row>
    <row r="871" spans="1:20" ht="15" customHeight="1">
      <c r="A871" s="6" t="s">
        <v>906</v>
      </c>
      <c r="B871" s="7">
        <v>45663</v>
      </c>
      <c r="C871" s="6" t="s">
        <v>727</v>
      </c>
      <c r="D871" s="6" t="s">
        <v>27</v>
      </c>
      <c r="E871" s="6" t="s">
        <v>28</v>
      </c>
      <c r="F871" s="6" t="str">
        <f>IF(E871="","Unknown",E871)</f>
        <v>Mobile</v>
      </c>
      <c r="G871" s="6" t="s">
        <v>29</v>
      </c>
      <c r="H871" s="6" t="str">
        <f>IF(G871="","Unknown",G871)</f>
        <v>Organic</v>
      </c>
      <c r="I871" s="6" t="s">
        <v>30</v>
      </c>
      <c r="J871" s="6">
        <v>0</v>
      </c>
      <c r="K871" s="6">
        <v>0</v>
      </c>
      <c r="L871" s="6">
        <v>0</v>
      </c>
      <c r="M871" s="6">
        <v>0</v>
      </c>
      <c r="N871" s="6">
        <v>0</v>
      </c>
      <c r="O871" s="6">
        <v>1</v>
      </c>
      <c r="P871" s="6">
        <f>IF(O871&gt;0,1,0)</f>
        <v>1</v>
      </c>
      <c r="Q871" s="6">
        <v>0</v>
      </c>
      <c r="S871" s="6">
        <v>66.400000000000006</v>
      </c>
      <c r="T871" s="6">
        <f>IF(S871="",MEDIAN($S$2:$S$1409),S871)</f>
        <v>66.400000000000006</v>
      </c>
    </row>
    <row r="872" spans="1:20" ht="15" customHeight="1">
      <c r="A872" s="6" t="s">
        <v>907</v>
      </c>
      <c r="B872" s="7">
        <v>45695</v>
      </c>
      <c r="C872" s="6" t="s">
        <v>727</v>
      </c>
      <c r="D872" s="6" t="s">
        <v>32</v>
      </c>
      <c r="E872" s="6" t="s">
        <v>28</v>
      </c>
      <c r="F872" s="6" t="str">
        <f>IF(E872="","Unknown",E872)</f>
        <v>Mobile</v>
      </c>
      <c r="G872" s="6" t="s">
        <v>29</v>
      </c>
      <c r="H872" s="6" t="str">
        <f>IF(G872="","Unknown",G872)</f>
        <v>Organic</v>
      </c>
      <c r="I872" s="6" t="s">
        <v>30</v>
      </c>
      <c r="J872" s="6">
        <v>1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f>IF(O872&gt;0,1,0)</f>
        <v>0</v>
      </c>
      <c r="Q872" s="6">
        <v>0</v>
      </c>
      <c r="S872" s="6">
        <v>27.6</v>
      </c>
      <c r="T872" s="6">
        <f>IF(S872="",MEDIAN($S$2:$S$1409),S872)</f>
        <v>27.6</v>
      </c>
    </row>
    <row r="873" spans="1:20" ht="15" customHeight="1">
      <c r="A873" s="6" t="s">
        <v>908</v>
      </c>
      <c r="B873" s="7">
        <v>45784</v>
      </c>
      <c r="C873" s="6" t="s">
        <v>727</v>
      </c>
      <c r="D873" s="6" t="s">
        <v>27</v>
      </c>
      <c r="E873" s="6" t="s">
        <v>28</v>
      </c>
      <c r="F873" s="6" t="str">
        <f>IF(E873="","Unknown",E873)</f>
        <v>Mobile</v>
      </c>
      <c r="G873" s="6" t="s">
        <v>29</v>
      </c>
      <c r="H873" s="6" t="str">
        <f>IF(G873="","Unknown",G873)</f>
        <v>Organic</v>
      </c>
      <c r="I873" s="6" t="s">
        <v>34</v>
      </c>
      <c r="J873" s="6">
        <v>1</v>
      </c>
      <c r="K873" s="6">
        <v>0</v>
      </c>
      <c r="L873" s="6">
        <v>0</v>
      </c>
      <c r="M873" s="6">
        <v>0</v>
      </c>
      <c r="N873" s="6">
        <v>0</v>
      </c>
      <c r="O873" s="6">
        <v>1</v>
      </c>
      <c r="P873" s="6">
        <f>IF(O873&gt;0,1,0)</f>
        <v>1</v>
      </c>
      <c r="Q873" s="6">
        <v>0</v>
      </c>
      <c r="S873" s="6">
        <v>56.5</v>
      </c>
      <c r="T873" s="6">
        <f>IF(S873="",MEDIAN($S$2:$S$1409),S873)</f>
        <v>56.5</v>
      </c>
    </row>
    <row r="874" spans="1:20" ht="15" customHeight="1">
      <c r="A874" s="6" t="s">
        <v>909</v>
      </c>
      <c r="B874" s="7">
        <v>45769</v>
      </c>
      <c r="C874" s="6" t="s">
        <v>727</v>
      </c>
      <c r="D874" s="6" t="s">
        <v>27</v>
      </c>
      <c r="E874" s="6"/>
      <c r="F874" s="6" t="str">
        <f>IF(E874="","Unknown",E874)</f>
        <v>Unknown</v>
      </c>
      <c r="G874" s="6" t="s">
        <v>45</v>
      </c>
      <c r="H874" s="6" t="str">
        <f>IF(G874="","Unknown",G874)</f>
        <v>Social</v>
      </c>
      <c r="I874" s="6" t="s">
        <v>30</v>
      </c>
      <c r="J874" s="6">
        <v>1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f>IF(O874&gt;0,1,0)</f>
        <v>0</v>
      </c>
      <c r="Q874" s="6">
        <v>0</v>
      </c>
      <c r="S874" s="6">
        <v>67.8</v>
      </c>
      <c r="T874" s="6">
        <f>IF(S874="",MEDIAN($S$2:$S$1409),S874)</f>
        <v>67.8</v>
      </c>
    </row>
    <row r="875" spans="1:20" ht="15" customHeight="1">
      <c r="A875" s="6" t="s">
        <v>910</v>
      </c>
      <c r="B875" s="7">
        <v>45781</v>
      </c>
      <c r="C875" s="6" t="s">
        <v>727</v>
      </c>
      <c r="D875" s="6" t="s">
        <v>27</v>
      </c>
      <c r="E875" s="6" t="s">
        <v>23</v>
      </c>
      <c r="F875" s="6" t="str">
        <f>IF(E875="","Unknown",E875)</f>
        <v>Desktop</v>
      </c>
      <c r="G875" s="6" t="s">
        <v>45</v>
      </c>
      <c r="H875" s="6" t="str">
        <f>IF(G875="","Unknown",G875)</f>
        <v>Social</v>
      </c>
      <c r="I875" s="6" t="s">
        <v>30</v>
      </c>
      <c r="J875" s="6">
        <v>1</v>
      </c>
      <c r="K875" s="6">
        <v>0</v>
      </c>
      <c r="L875" s="6">
        <v>0</v>
      </c>
      <c r="M875" s="6">
        <v>0</v>
      </c>
      <c r="N875" s="6">
        <v>0</v>
      </c>
      <c r="O875" s="6">
        <v>0</v>
      </c>
      <c r="P875" s="6">
        <f>IF(O875&gt;0,1,0)</f>
        <v>0</v>
      </c>
      <c r="Q875" s="6">
        <v>0</v>
      </c>
      <c r="S875" s="6">
        <v>80</v>
      </c>
      <c r="T875" s="6">
        <f>IF(S875="",MEDIAN($S$2:$S$1409),S875)</f>
        <v>80</v>
      </c>
    </row>
    <row r="876" spans="1:20" ht="15" customHeight="1">
      <c r="A876" s="6" t="s">
        <v>911</v>
      </c>
      <c r="B876" s="7">
        <v>45793</v>
      </c>
      <c r="C876" s="6" t="s">
        <v>727</v>
      </c>
      <c r="D876" s="6" t="s">
        <v>36</v>
      </c>
      <c r="E876" s="6" t="s">
        <v>28</v>
      </c>
      <c r="F876" s="6" t="str">
        <f>IF(E876="","Unknown",E876)</f>
        <v>Mobile</v>
      </c>
      <c r="G876" s="6" t="s">
        <v>45</v>
      </c>
      <c r="H876" s="6" t="str">
        <f>IF(G876="","Unknown",G876)</f>
        <v>Social</v>
      </c>
      <c r="I876" s="6" t="s">
        <v>25</v>
      </c>
      <c r="J876" s="6">
        <v>1</v>
      </c>
      <c r="K876" s="6">
        <v>1</v>
      </c>
      <c r="L876" s="6">
        <v>1</v>
      </c>
      <c r="M876" s="6">
        <v>0</v>
      </c>
      <c r="N876" s="6">
        <v>0</v>
      </c>
      <c r="O876" s="6">
        <v>1</v>
      </c>
      <c r="P876" s="6">
        <f>IF(O876&gt;0,1,0)</f>
        <v>1</v>
      </c>
      <c r="Q876" s="6">
        <v>0</v>
      </c>
      <c r="S876" s="6">
        <v>80.900000000000006</v>
      </c>
      <c r="T876" s="6">
        <f>IF(S876="",MEDIAN($S$2:$S$1409),S876)</f>
        <v>80.900000000000006</v>
      </c>
    </row>
    <row r="877" spans="1:20" ht="15" customHeight="1">
      <c r="A877" s="6" t="s">
        <v>912</v>
      </c>
      <c r="B877" s="7">
        <v>45699</v>
      </c>
      <c r="C877" s="6" t="s">
        <v>727</v>
      </c>
      <c r="D877" s="6" t="s">
        <v>27</v>
      </c>
      <c r="E877" s="6" t="s">
        <v>28</v>
      </c>
      <c r="F877" s="6" t="str">
        <f>IF(E877="","Unknown",E877)</f>
        <v>Mobile</v>
      </c>
      <c r="G877" s="6" t="s">
        <v>33</v>
      </c>
      <c r="H877" s="6" t="str">
        <f>IF(G877="","Unknown",G877)</f>
        <v>Paid Search</v>
      </c>
      <c r="I877" s="6" t="s">
        <v>30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f>IF(O877&gt;0,1,0)</f>
        <v>0</v>
      </c>
      <c r="Q877" s="6">
        <v>0</v>
      </c>
      <c r="S877" s="6">
        <v>34.5</v>
      </c>
      <c r="T877" s="6">
        <f>IF(S877="",MEDIAN($S$2:$S$1409),S877)</f>
        <v>34.5</v>
      </c>
    </row>
    <row r="878" spans="1:20" ht="15" customHeight="1">
      <c r="A878" s="6" t="s">
        <v>913</v>
      </c>
      <c r="B878" s="7">
        <v>45786</v>
      </c>
      <c r="C878" s="6" t="s">
        <v>727</v>
      </c>
      <c r="D878" s="6" t="s">
        <v>32</v>
      </c>
      <c r="E878" s="6" t="s">
        <v>23</v>
      </c>
      <c r="F878" s="6" t="str">
        <f>IF(E878="","Unknown",E878)</f>
        <v>Desktop</v>
      </c>
      <c r="G878" s="6" t="s">
        <v>29</v>
      </c>
      <c r="H878" s="6" t="str">
        <f>IF(G878="","Unknown",G878)</f>
        <v>Organic</v>
      </c>
      <c r="I878" s="6" t="s">
        <v>34</v>
      </c>
      <c r="J878" s="6">
        <v>1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f>IF(O878&gt;0,1,0)</f>
        <v>0</v>
      </c>
      <c r="Q878" s="6">
        <v>0</v>
      </c>
      <c r="S878" s="6">
        <v>73.5</v>
      </c>
      <c r="T878" s="6">
        <f>IF(S878="",MEDIAN($S$2:$S$1409),S878)</f>
        <v>73.5</v>
      </c>
    </row>
    <row r="879" spans="1:20" ht="15" customHeight="1">
      <c r="A879" s="6" t="s">
        <v>914</v>
      </c>
      <c r="B879" s="7">
        <v>45697</v>
      </c>
      <c r="C879" s="6" t="s">
        <v>727</v>
      </c>
      <c r="D879" s="6" t="s">
        <v>36</v>
      </c>
      <c r="E879" s="6" t="s">
        <v>23</v>
      </c>
      <c r="F879" s="6" t="str">
        <f>IF(E879="","Unknown",E879)</f>
        <v>Desktop</v>
      </c>
      <c r="G879" s="6" t="s">
        <v>33</v>
      </c>
      <c r="H879" s="6" t="str">
        <f>IF(G879="","Unknown",G879)</f>
        <v>Paid Search</v>
      </c>
      <c r="I879" s="6" t="s">
        <v>30</v>
      </c>
      <c r="J879" s="6">
        <v>1</v>
      </c>
      <c r="K879" s="6">
        <v>1</v>
      </c>
      <c r="L879" s="6">
        <v>0</v>
      </c>
      <c r="M879" s="6">
        <v>0</v>
      </c>
      <c r="N879" s="6">
        <v>0</v>
      </c>
      <c r="O879" s="6">
        <v>0</v>
      </c>
      <c r="P879" s="6">
        <f>IF(O879&gt;0,1,0)</f>
        <v>0</v>
      </c>
      <c r="Q879" s="6">
        <v>0</v>
      </c>
      <c r="S879" s="6">
        <v>70</v>
      </c>
      <c r="T879" s="6">
        <f>IF(S879="",MEDIAN($S$2:$S$1409),S879)</f>
        <v>70</v>
      </c>
    </row>
    <row r="880" spans="1:20" ht="15" customHeight="1">
      <c r="A880" s="6" t="s">
        <v>915</v>
      </c>
      <c r="B880" s="7">
        <v>45799</v>
      </c>
      <c r="C880" s="6" t="s">
        <v>727</v>
      </c>
      <c r="D880" s="6" t="s">
        <v>27</v>
      </c>
      <c r="E880" s="6" t="s">
        <v>28</v>
      </c>
      <c r="F880" s="6" t="str">
        <f>IF(E880="","Unknown",E880)</f>
        <v>Mobile</v>
      </c>
      <c r="G880" s="6" t="s">
        <v>45</v>
      </c>
      <c r="H880" s="6" t="str">
        <f>IF(G880="","Unknown",G880)</f>
        <v>Social</v>
      </c>
      <c r="I880" s="6" t="s">
        <v>25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f>IF(O880&gt;0,1,0)</f>
        <v>0</v>
      </c>
      <c r="Q880" s="6">
        <v>0</v>
      </c>
      <c r="S880" s="6">
        <v>86.9</v>
      </c>
      <c r="T880" s="6">
        <f>IF(S880="",MEDIAN($S$2:$S$1409),S880)</f>
        <v>86.9</v>
      </c>
    </row>
    <row r="881" spans="1:20" ht="15" customHeight="1">
      <c r="A881" s="6" t="s">
        <v>916</v>
      </c>
      <c r="B881" s="7">
        <v>45801</v>
      </c>
      <c r="C881" s="6" t="s">
        <v>727</v>
      </c>
      <c r="D881" s="6" t="s">
        <v>32</v>
      </c>
      <c r="E881" s="6" t="s">
        <v>28</v>
      </c>
      <c r="F881" s="6" t="str">
        <f>IF(E881="","Unknown",E881)</f>
        <v>Mobile</v>
      </c>
      <c r="G881" s="6" t="s">
        <v>45</v>
      </c>
      <c r="H881" s="6" t="str">
        <f>IF(G881="","Unknown",G881)</f>
        <v>Social</v>
      </c>
      <c r="I881" s="6" t="s">
        <v>25</v>
      </c>
      <c r="J881" s="6">
        <v>0</v>
      </c>
      <c r="K881" s="6">
        <v>0</v>
      </c>
      <c r="L881" s="6">
        <v>0</v>
      </c>
      <c r="M881" s="6">
        <v>0</v>
      </c>
      <c r="N881" s="6">
        <v>0</v>
      </c>
      <c r="O881" s="6">
        <v>0</v>
      </c>
      <c r="P881" s="6">
        <f>IF(O881&gt;0,1,0)</f>
        <v>0</v>
      </c>
      <c r="Q881" s="6">
        <v>0</v>
      </c>
      <c r="S881" s="6">
        <v>66.900000000000006</v>
      </c>
      <c r="T881" s="6">
        <f>IF(S881="",MEDIAN($S$2:$S$1409),S881)</f>
        <v>66.900000000000006</v>
      </c>
    </row>
    <row r="882" spans="1:20" ht="15" customHeight="1">
      <c r="A882" s="6" t="s">
        <v>917</v>
      </c>
      <c r="B882" s="7">
        <v>45774</v>
      </c>
      <c r="C882" s="6" t="s">
        <v>727</v>
      </c>
      <c r="D882" s="6" t="s">
        <v>36</v>
      </c>
      <c r="E882" s="6" t="s">
        <v>23</v>
      </c>
      <c r="F882" s="6" t="str">
        <f>IF(E882="","Unknown",E882)</f>
        <v>Desktop</v>
      </c>
      <c r="G882" s="6" t="s">
        <v>45</v>
      </c>
      <c r="H882" s="6" t="str">
        <f>IF(G882="","Unknown",G882)</f>
        <v>Social</v>
      </c>
      <c r="I882" s="6" t="s">
        <v>25</v>
      </c>
      <c r="J882" s="6">
        <v>1</v>
      </c>
      <c r="K882" s="6">
        <v>1</v>
      </c>
      <c r="L882" s="6">
        <v>1</v>
      </c>
      <c r="M882" s="6">
        <v>0</v>
      </c>
      <c r="N882" s="6">
        <v>0</v>
      </c>
      <c r="O882" s="6">
        <v>0</v>
      </c>
      <c r="P882" s="6">
        <f>IF(O882&gt;0,1,0)</f>
        <v>0</v>
      </c>
      <c r="Q882" s="6">
        <v>0</v>
      </c>
      <c r="S882" s="6">
        <v>58.3</v>
      </c>
      <c r="T882" s="6">
        <f>IF(S882="",MEDIAN($S$2:$S$1409),S882)</f>
        <v>58.3</v>
      </c>
    </row>
    <row r="883" spans="1:20" ht="15" customHeight="1">
      <c r="A883" s="6" t="s">
        <v>918</v>
      </c>
      <c r="B883" s="7">
        <v>45735</v>
      </c>
      <c r="C883" s="6" t="s">
        <v>727</v>
      </c>
      <c r="D883" s="6" t="s">
        <v>32</v>
      </c>
      <c r="E883" s="6" t="s">
        <v>28</v>
      </c>
      <c r="F883" s="6" t="str">
        <f>IF(E883="","Unknown",E883)</f>
        <v>Mobile</v>
      </c>
      <c r="G883" s="6" t="s">
        <v>33</v>
      </c>
      <c r="H883" s="6" t="str">
        <f>IF(G883="","Unknown",G883)</f>
        <v>Paid Search</v>
      </c>
      <c r="I883" s="6" t="s">
        <v>30</v>
      </c>
      <c r="J883" s="6">
        <v>1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f>IF(O883&gt;0,1,0)</f>
        <v>0</v>
      </c>
      <c r="Q883" s="6">
        <v>0</v>
      </c>
      <c r="S883" s="6">
        <v>45</v>
      </c>
      <c r="T883" s="6">
        <f>IF(S883="",MEDIAN($S$2:$S$1409),S883)</f>
        <v>45</v>
      </c>
    </row>
    <row r="884" spans="1:20" ht="15" customHeight="1">
      <c r="A884" s="6" t="s">
        <v>919</v>
      </c>
      <c r="B884" s="7">
        <v>45797</v>
      </c>
      <c r="C884" s="6" t="s">
        <v>727</v>
      </c>
      <c r="D884" s="6" t="s">
        <v>36</v>
      </c>
      <c r="E884" s="6" t="s">
        <v>28</v>
      </c>
      <c r="F884" s="6" t="str">
        <f>IF(E884="","Unknown",E884)</f>
        <v>Mobile</v>
      </c>
      <c r="G884" s="6" t="s">
        <v>29</v>
      </c>
      <c r="H884" s="6" t="str">
        <f>IF(G884="","Unknown",G884)</f>
        <v>Organic</v>
      </c>
      <c r="I884" s="6" t="s">
        <v>34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f>IF(O884&gt;0,1,0)</f>
        <v>0</v>
      </c>
      <c r="Q884" s="6">
        <v>0</v>
      </c>
      <c r="S884" s="6">
        <v>60.8</v>
      </c>
      <c r="T884" s="6">
        <f>IF(S884="",MEDIAN($S$2:$S$1409),S884)</f>
        <v>60.8</v>
      </c>
    </row>
    <row r="885" spans="1:20" ht="15" customHeight="1">
      <c r="A885" s="6" t="s">
        <v>920</v>
      </c>
      <c r="B885" s="7">
        <v>45787</v>
      </c>
      <c r="C885" s="6" t="s">
        <v>727</v>
      </c>
      <c r="D885" s="6" t="s">
        <v>22</v>
      </c>
      <c r="E885" s="6" t="s">
        <v>28</v>
      </c>
      <c r="F885" s="6" t="str">
        <f>IF(E885="","Unknown",E885)</f>
        <v>Mobile</v>
      </c>
      <c r="G885" s="6" t="s">
        <v>24</v>
      </c>
      <c r="H885" s="6" t="str">
        <f>IF(G885="","Unknown",G885)</f>
        <v>Email</v>
      </c>
      <c r="I885" s="6" t="s">
        <v>34</v>
      </c>
      <c r="J885" s="6">
        <v>1</v>
      </c>
      <c r="K885" s="6">
        <v>0</v>
      </c>
      <c r="L885" s="6">
        <v>0</v>
      </c>
      <c r="M885" s="6">
        <v>0</v>
      </c>
      <c r="N885" s="6">
        <v>0</v>
      </c>
      <c r="O885" s="6">
        <v>4</v>
      </c>
      <c r="P885" s="6">
        <f>IF(O885&gt;0,1,0)</f>
        <v>1</v>
      </c>
      <c r="Q885" s="6">
        <v>0</v>
      </c>
      <c r="S885" s="6">
        <v>53.7</v>
      </c>
      <c r="T885" s="6">
        <f>IF(S885="",MEDIAN($S$2:$S$1409),S885)</f>
        <v>53.7</v>
      </c>
    </row>
    <row r="886" spans="1:20" ht="15" customHeight="1">
      <c r="A886" s="6" t="s">
        <v>921</v>
      </c>
      <c r="B886" s="7">
        <v>45745</v>
      </c>
      <c r="C886" s="6" t="s">
        <v>727</v>
      </c>
      <c r="D886" s="6" t="s">
        <v>32</v>
      </c>
      <c r="E886" s="6" t="s">
        <v>28</v>
      </c>
      <c r="F886" s="6" t="str">
        <f>IF(E886="","Unknown",E886)</f>
        <v>Mobile</v>
      </c>
      <c r="G886" s="6" t="s">
        <v>45</v>
      </c>
      <c r="H886" s="6" t="str">
        <f>IF(G886="","Unknown",G886)</f>
        <v>Social</v>
      </c>
      <c r="I886" s="6" t="s">
        <v>30</v>
      </c>
      <c r="J886" s="6">
        <v>1</v>
      </c>
      <c r="K886" s="6">
        <v>1</v>
      </c>
      <c r="L886" s="6">
        <v>1</v>
      </c>
      <c r="M886" s="6">
        <v>0</v>
      </c>
      <c r="N886" s="6">
        <v>0</v>
      </c>
      <c r="O886" s="6">
        <v>0</v>
      </c>
      <c r="P886" s="6">
        <f>IF(O886&gt;0,1,0)</f>
        <v>0</v>
      </c>
      <c r="Q886" s="6">
        <v>0</v>
      </c>
      <c r="S886" s="6">
        <v>48.8</v>
      </c>
      <c r="T886" s="6">
        <f>IF(S886="",MEDIAN($S$2:$S$1409),S886)</f>
        <v>48.8</v>
      </c>
    </row>
    <row r="887" spans="1:20" ht="15" customHeight="1">
      <c r="A887" s="6" t="s">
        <v>922</v>
      </c>
      <c r="B887" s="7">
        <v>45750</v>
      </c>
      <c r="C887" s="6" t="s">
        <v>727</v>
      </c>
      <c r="D887" s="6" t="s">
        <v>27</v>
      </c>
      <c r="E887" s="6" t="s">
        <v>23</v>
      </c>
      <c r="F887" s="6" t="str">
        <f>IF(E887="","Unknown",E887)</f>
        <v>Desktop</v>
      </c>
      <c r="G887" s="6" t="s">
        <v>43</v>
      </c>
      <c r="H887" s="6" t="str">
        <f>IF(G887="","Unknown",G887)</f>
        <v>Referral</v>
      </c>
      <c r="I887" s="6" t="s">
        <v>25</v>
      </c>
      <c r="J887" s="6">
        <v>0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>
        <f>IF(O887&gt;0,1,0)</f>
        <v>0</v>
      </c>
      <c r="Q887" s="6">
        <v>0</v>
      </c>
      <c r="S887" s="6">
        <v>52.9</v>
      </c>
      <c r="T887" s="6">
        <f>IF(S887="",MEDIAN($S$2:$S$1409),S887)</f>
        <v>52.9</v>
      </c>
    </row>
    <row r="888" spans="1:20" ht="15" customHeight="1">
      <c r="A888" s="6" t="s">
        <v>923</v>
      </c>
      <c r="B888" s="7">
        <v>45807</v>
      </c>
      <c r="C888" s="6" t="s">
        <v>727</v>
      </c>
      <c r="D888" s="6" t="s">
        <v>36</v>
      </c>
      <c r="E888" s="6" t="s">
        <v>28</v>
      </c>
      <c r="F888" s="6" t="str">
        <f>IF(E888="","Unknown",E888)</f>
        <v>Mobile</v>
      </c>
      <c r="G888" s="6" t="s">
        <v>24</v>
      </c>
      <c r="H888" s="6" t="str">
        <f>IF(G888="","Unknown",G888)</f>
        <v>Email</v>
      </c>
      <c r="I888" s="6" t="s">
        <v>30</v>
      </c>
      <c r="J888" s="6">
        <v>1</v>
      </c>
      <c r="K888" s="6">
        <v>0</v>
      </c>
      <c r="L888" s="6">
        <v>0</v>
      </c>
      <c r="M888" s="6">
        <v>0</v>
      </c>
      <c r="N888" s="6">
        <v>0</v>
      </c>
      <c r="O888" s="6">
        <v>0</v>
      </c>
      <c r="P888" s="6">
        <f>IF(O888&gt;0,1,0)</f>
        <v>0</v>
      </c>
      <c r="Q888" s="6">
        <v>0</v>
      </c>
      <c r="S888" s="6">
        <v>42.4</v>
      </c>
      <c r="T888" s="6">
        <f>IF(S888="",MEDIAN($S$2:$S$1409),S888)</f>
        <v>42.4</v>
      </c>
    </row>
    <row r="889" spans="1:20" ht="15" customHeight="1">
      <c r="A889" s="6" t="s">
        <v>924</v>
      </c>
      <c r="B889" s="7">
        <v>45753</v>
      </c>
      <c r="C889" s="6" t="s">
        <v>727</v>
      </c>
      <c r="D889" s="6" t="s">
        <v>32</v>
      </c>
      <c r="E889" s="6" t="s">
        <v>23</v>
      </c>
      <c r="F889" s="6" t="str">
        <f>IF(E889="","Unknown",E889)</f>
        <v>Desktop</v>
      </c>
      <c r="G889" s="6" t="s">
        <v>24</v>
      </c>
      <c r="H889" s="6" t="str">
        <f>IF(G889="","Unknown",G889)</f>
        <v>Email</v>
      </c>
      <c r="I889" s="6" t="s">
        <v>30</v>
      </c>
      <c r="J889" s="6">
        <v>1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f>IF(O889&gt;0,1,0)</f>
        <v>0</v>
      </c>
      <c r="Q889" s="6">
        <v>0</v>
      </c>
      <c r="S889" s="6">
        <v>58.7</v>
      </c>
      <c r="T889" s="6">
        <f>IF(S889="",MEDIAN($S$2:$S$1409),S889)</f>
        <v>58.7</v>
      </c>
    </row>
    <row r="890" spans="1:20" ht="15" customHeight="1">
      <c r="A890" s="6" t="s">
        <v>925</v>
      </c>
      <c r="B890" s="7">
        <v>45730</v>
      </c>
      <c r="C890" s="6" t="s">
        <v>727</v>
      </c>
      <c r="D890" s="6" t="s">
        <v>22</v>
      </c>
      <c r="E890" s="6" t="s">
        <v>28</v>
      </c>
      <c r="F890" s="6" t="str">
        <f>IF(E890="","Unknown",E890)</f>
        <v>Mobile</v>
      </c>
      <c r="G890" s="6" t="s">
        <v>43</v>
      </c>
      <c r="H890" s="6" t="str">
        <f>IF(G890="","Unknown",G890)</f>
        <v>Referral</v>
      </c>
      <c r="I890" s="6" t="s">
        <v>30</v>
      </c>
      <c r="J890" s="6">
        <v>1</v>
      </c>
      <c r="K890" s="6">
        <v>1</v>
      </c>
      <c r="L890" s="6">
        <v>1</v>
      </c>
      <c r="M890" s="6">
        <v>1</v>
      </c>
      <c r="N890" s="6">
        <v>2064.5500000000002</v>
      </c>
      <c r="O890" s="6">
        <v>0</v>
      </c>
      <c r="P890" s="6">
        <f>IF(O890&gt;0,1,0)</f>
        <v>0</v>
      </c>
      <c r="Q890" s="6">
        <v>0</v>
      </c>
      <c r="R890" s="6">
        <v>1</v>
      </c>
      <c r="S890" s="6">
        <v>67.8</v>
      </c>
      <c r="T890" s="6">
        <f>IF(S890="",MEDIAN($S$2:$S$1409),S890)</f>
        <v>67.8</v>
      </c>
    </row>
    <row r="891" spans="1:20" ht="15" customHeight="1">
      <c r="A891" s="6" t="s">
        <v>926</v>
      </c>
      <c r="B891" s="7">
        <v>45712</v>
      </c>
      <c r="C891" s="6" t="s">
        <v>727</v>
      </c>
      <c r="D891" s="6" t="s">
        <v>36</v>
      </c>
      <c r="E891" s="6" t="s">
        <v>23</v>
      </c>
      <c r="F891" s="6" t="str">
        <f>IF(E891="","Unknown",E891)</f>
        <v>Desktop</v>
      </c>
      <c r="G891" s="6" t="s">
        <v>33</v>
      </c>
      <c r="H891" s="6" t="str">
        <f>IF(G891="","Unknown",G891)</f>
        <v>Paid Search</v>
      </c>
      <c r="I891" s="6" t="s">
        <v>25</v>
      </c>
      <c r="J891" s="6">
        <v>1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f>IF(O891&gt;0,1,0)</f>
        <v>0</v>
      </c>
      <c r="Q891" s="6">
        <v>0</v>
      </c>
      <c r="S891" s="6">
        <v>62.6</v>
      </c>
      <c r="T891" s="6">
        <f>IF(S891="",MEDIAN($S$2:$S$1409),S891)</f>
        <v>62.6</v>
      </c>
    </row>
    <row r="892" spans="1:20" ht="15" customHeight="1">
      <c r="A892" s="6" t="s">
        <v>927</v>
      </c>
      <c r="B892" s="7">
        <v>45720</v>
      </c>
      <c r="C892" s="6" t="s">
        <v>727</v>
      </c>
      <c r="D892" s="6" t="s">
        <v>27</v>
      </c>
      <c r="E892" s="6" t="s">
        <v>28</v>
      </c>
      <c r="F892" s="6" t="str">
        <f>IF(E892="","Unknown",E892)</f>
        <v>Mobile</v>
      </c>
      <c r="G892" s="6" t="s">
        <v>24</v>
      </c>
      <c r="H892" s="6" t="str">
        <f>IF(G892="","Unknown",G892)</f>
        <v>Email</v>
      </c>
      <c r="I892" s="6" t="s">
        <v>25</v>
      </c>
      <c r="J892" s="6">
        <v>1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f>IF(O892&gt;0,1,0)</f>
        <v>0</v>
      </c>
      <c r="Q892" s="6">
        <v>0</v>
      </c>
      <c r="S892" s="6">
        <v>82.4</v>
      </c>
      <c r="T892" s="6">
        <f>IF(S892="",MEDIAN($S$2:$S$1409),S892)</f>
        <v>82.4</v>
      </c>
    </row>
    <row r="893" spans="1:20" ht="15" customHeight="1">
      <c r="A893" s="6" t="s">
        <v>928</v>
      </c>
      <c r="B893" s="7">
        <v>45749</v>
      </c>
      <c r="C893" s="6" t="s">
        <v>727</v>
      </c>
      <c r="D893" s="6" t="s">
        <v>22</v>
      </c>
      <c r="E893" s="6" t="s">
        <v>28</v>
      </c>
      <c r="F893" s="6" t="str">
        <f>IF(E893="","Unknown",E893)</f>
        <v>Mobile</v>
      </c>
      <c r="G893" s="6" t="s">
        <v>29</v>
      </c>
      <c r="H893" s="6" t="str">
        <f>IF(G893="","Unknown",G893)</f>
        <v>Organic</v>
      </c>
      <c r="I893" s="6" t="s">
        <v>30</v>
      </c>
      <c r="J893" s="6">
        <v>1</v>
      </c>
      <c r="K893" s="6">
        <v>1</v>
      </c>
      <c r="L893" s="6">
        <v>1</v>
      </c>
      <c r="M893" s="6">
        <v>0</v>
      </c>
      <c r="N893" s="6">
        <v>0</v>
      </c>
      <c r="O893" s="6">
        <v>0</v>
      </c>
      <c r="P893" s="6">
        <f>IF(O893&gt;0,1,0)</f>
        <v>0</v>
      </c>
      <c r="Q893" s="6">
        <v>0</v>
      </c>
      <c r="S893" s="6">
        <v>50.4</v>
      </c>
      <c r="T893" s="6">
        <f>IF(S893="",MEDIAN($S$2:$S$1409),S893)</f>
        <v>50.4</v>
      </c>
    </row>
    <row r="894" spans="1:20" ht="15" customHeight="1">
      <c r="A894" s="6" t="s">
        <v>929</v>
      </c>
      <c r="B894" s="7">
        <v>45788</v>
      </c>
      <c r="C894" s="6" t="s">
        <v>727</v>
      </c>
      <c r="D894" s="6" t="s">
        <v>22</v>
      </c>
      <c r="E894" s="6" t="s">
        <v>28</v>
      </c>
      <c r="F894" s="6" t="str">
        <f>IF(E894="","Unknown",E894)</f>
        <v>Mobile</v>
      </c>
      <c r="G894" s="6" t="s">
        <v>24</v>
      </c>
      <c r="H894" s="6" t="str">
        <f>IF(G894="","Unknown",G894)</f>
        <v>Email</v>
      </c>
      <c r="I894" s="6" t="s">
        <v>34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f>IF(O894&gt;0,1,0)</f>
        <v>0</v>
      </c>
      <c r="Q894" s="6">
        <v>0</v>
      </c>
      <c r="S894" s="6">
        <v>68.400000000000006</v>
      </c>
      <c r="T894" s="6">
        <f>IF(S894="",MEDIAN($S$2:$S$1409),S894)</f>
        <v>68.400000000000006</v>
      </c>
    </row>
    <row r="895" spans="1:20" ht="15" customHeight="1">
      <c r="A895" s="6" t="s">
        <v>930</v>
      </c>
      <c r="B895" s="7">
        <v>45787</v>
      </c>
      <c r="C895" s="6" t="s">
        <v>727</v>
      </c>
      <c r="D895" s="6" t="s">
        <v>27</v>
      </c>
      <c r="E895" s="6" t="s">
        <v>38</v>
      </c>
      <c r="F895" s="6" t="str">
        <f>IF(E895="","Unknown",E895)</f>
        <v>Tablet</v>
      </c>
      <c r="G895" s="6" t="s">
        <v>33</v>
      </c>
      <c r="H895" s="6" t="str">
        <f>IF(G895="","Unknown",G895)</f>
        <v>Paid Search</v>
      </c>
      <c r="I895" s="6" t="s">
        <v>25</v>
      </c>
      <c r="J895" s="6">
        <v>1</v>
      </c>
      <c r="K895" s="6">
        <v>1</v>
      </c>
      <c r="L895" s="6">
        <v>1</v>
      </c>
      <c r="M895" s="6">
        <v>0</v>
      </c>
      <c r="N895" s="6">
        <v>0</v>
      </c>
      <c r="O895" s="6">
        <v>0</v>
      </c>
      <c r="P895" s="6">
        <f>IF(O895&gt;0,1,0)</f>
        <v>0</v>
      </c>
      <c r="Q895" s="6">
        <v>0</v>
      </c>
      <c r="S895" s="6">
        <v>58.8</v>
      </c>
      <c r="T895" s="6">
        <f>IF(S895="",MEDIAN($S$2:$S$1409),S895)</f>
        <v>58.8</v>
      </c>
    </row>
    <row r="896" spans="1:20" ht="15" customHeight="1">
      <c r="A896" s="6" t="s">
        <v>931</v>
      </c>
      <c r="B896" s="7">
        <v>45783</v>
      </c>
      <c r="C896" s="6" t="s">
        <v>727</v>
      </c>
      <c r="D896" s="6" t="s">
        <v>27</v>
      </c>
      <c r="E896" s="6" t="s">
        <v>28</v>
      </c>
      <c r="F896" s="6" t="str">
        <f>IF(E896="","Unknown",E896)</f>
        <v>Mobile</v>
      </c>
      <c r="G896" s="6" t="s">
        <v>43</v>
      </c>
      <c r="H896" s="6" t="str">
        <f>IF(G896="","Unknown",G896)</f>
        <v>Referral</v>
      </c>
      <c r="I896" s="6" t="s">
        <v>30</v>
      </c>
      <c r="J896" s="6">
        <v>1</v>
      </c>
      <c r="K896" s="6">
        <v>1</v>
      </c>
      <c r="L896" s="6">
        <v>0</v>
      </c>
      <c r="M896" s="6">
        <v>0</v>
      </c>
      <c r="N896" s="6">
        <v>0</v>
      </c>
      <c r="O896" s="6">
        <v>2</v>
      </c>
      <c r="P896" s="6">
        <f>IF(O896&gt;0,1,0)</f>
        <v>1</v>
      </c>
      <c r="Q896" s="6">
        <v>0</v>
      </c>
      <c r="S896" s="6">
        <v>28.3</v>
      </c>
      <c r="T896" s="6">
        <f>IF(S896="",MEDIAN($S$2:$S$1409),S896)</f>
        <v>28.3</v>
      </c>
    </row>
    <row r="897" spans="1:20" ht="15" customHeight="1">
      <c r="A897" s="6" t="s">
        <v>932</v>
      </c>
      <c r="B897" s="7">
        <v>45699</v>
      </c>
      <c r="C897" s="6" t="s">
        <v>727</v>
      </c>
      <c r="D897" s="6" t="s">
        <v>27</v>
      </c>
      <c r="E897" s="6" t="s">
        <v>23</v>
      </c>
      <c r="F897" s="6" t="str">
        <f>IF(E897="","Unknown",E897)</f>
        <v>Desktop</v>
      </c>
      <c r="G897" s="6" t="s">
        <v>33</v>
      </c>
      <c r="H897" s="6" t="str">
        <f>IF(G897="","Unknown",G897)</f>
        <v>Paid Search</v>
      </c>
      <c r="I897" s="6" t="s">
        <v>30</v>
      </c>
      <c r="J897" s="6">
        <v>1</v>
      </c>
      <c r="K897" s="6">
        <v>1</v>
      </c>
      <c r="L897" s="6">
        <v>0</v>
      </c>
      <c r="M897" s="6">
        <v>0</v>
      </c>
      <c r="N897" s="6">
        <v>0</v>
      </c>
      <c r="O897" s="6">
        <v>0</v>
      </c>
      <c r="P897" s="6">
        <f>IF(O897&gt;0,1,0)</f>
        <v>0</v>
      </c>
      <c r="Q897" s="6">
        <v>0</v>
      </c>
      <c r="S897" s="6">
        <v>44.1</v>
      </c>
      <c r="T897" s="6">
        <f>IF(S897="",MEDIAN($S$2:$S$1409),S897)</f>
        <v>44.1</v>
      </c>
    </row>
    <row r="898" spans="1:20" ht="15" customHeight="1">
      <c r="A898" s="6" t="s">
        <v>933</v>
      </c>
      <c r="B898" s="7">
        <v>45786</v>
      </c>
      <c r="C898" s="6" t="s">
        <v>727</v>
      </c>
      <c r="D898" s="6" t="s">
        <v>36</v>
      </c>
      <c r="E898" s="6" t="s">
        <v>28</v>
      </c>
      <c r="F898" s="6" t="str">
        <f>IF(E898="","Unknown",E898)</f>
        <v>Mobile</v>
      </c>
      <c r="G898" s="6" t="s">
        <v>33</v>
      </c>
      <c r="H898" s="6" t="str">
        <f>IF(G898="","Unknown",G898)</f>
        <v>Paid Search</v>
      </c>
      <c r="I898" s="6" t="s">
        <v>34</v>
      </c>
      <c r="J898" s="6">
        <v>1</v>
      </c>
      <c r="K898" s="6">
        <v>1</v>
      </c>
      <c r="L898" s="6">
        <v>0</v>
      </c>
      <c r="M898" s="6">
        <v>0</v>
      </c>
      <c r="N898" s="6">
        <v>0</v>
      </c>
      <c r="O898" s="6">
        <v>0</v>
      </c>
      <c r="P898" s="6">
        <f>IF(O898&gt;0,1,0)</f>
        <v>0</v>
      </c>
      <c r="Q898" s="6">
        <v>0</v>
      </c>
      <c r="S898" s="6">
        <v>66.7</v>
      </c>
      <c r="T898" s="6">
        <f>IF(S898="",MEDIAN($S$2:$S$1409),S898)</f>
        <v>66.7</v>
      </c>
    </row>
    <row r="899" spans="1:20" ht="15" customHeight="1">
      <c r="A899" s="6" t="s">
        <v>934</v>
      </c>
      <c r="B899" s="7">
        <v>45690</v>
      </c>
      <c r="C899" s="6" t="s">
        <v>727</v>
      </c>
      <c r="D899" s="6" t="s">
        <v>36</v>
      </c>
      <c r="E899" s="6" t="s">
        <v>28</v>
      </c>
      <c r="F899" s="6" t="str">
        <f>IF(E899="","Unknown",E899)</f>
        <v>Mobile</v>
      </c>
      <c r="G899" s="6"/>
      <c r="H899" s="6" t="str">
        <f>IF(G899="","Unknown",G899)</f>
        <v>Unknown</v>
      </c>
      <c r="I899" s="6" t="s">
        <v>30</v>
      </c>
      <c r="J899" s="6">
        <v>1</v>
      </c>
      <c r="K899" s="6">
        <v>0</v>
      </c>
      <c r="L899" s="6">
        <v>0</v>
      </c>
      <c r="M899" s="6">
        <v>0</v>
      </c>
      <c r="N899" s="6">
        <v>0</v>
      </c>
      <c r="O899" s="6">
        <v>0</v>
      </c>
      <c r="P899" s="6">
        <f>IF(O899&gt;0,1,0)</f>
        <v>0</v>
      </c>
      <c r="Q899" s="6">
        <v>0</v>
      </c>
      <c r="S899" s="6">
        <v>100</v>
      </c>
      <c r="T899" s="6">
        <f>IF(S899="",MEDIAN($S$2:$S$1409),S899)</f>
        <v>100</v>
      </c>
    </row>
    <row r="900" spans="1:20" ht="15" customHeight="1">
      <c r="A900" s="6" t="s">
        <v>935</v>
      </c>
      <c r="B900" s="7">
        <v>45750</v>
      </c>
      <c r="C900" s="6" t="s">
        <v>727</v>
      </c>
      <c r="D900" s="6" t="s">
        <v>36</v>
      </c>
      <c r="E900" s="6" t="s">
        <v>28</v>
      </c>
      <c r="F900" s="6" t="str">
        <f>IF(E900="","Unknown",E900)</f>
        <v>Mobile</v>
      </c>
      <c r="G900" s="6" t="s">
        <v>45</v>
      </c>
      <c r="H900" s="6" t="str">
        <f>IF(G900="","Unknown",G900)</f>
        <v>Social</v>
      </c>
      <c r="I900" s="6" t="s">
        <v>30</v>
      </c>
      <c r="J900" s="6">
        <v>1</v>
      </c>
      <c r="K900" s="6">
        <v>1</v>
      </c>
      <c r="L900" s="6">
        <v>0</v>
      </c>
      <c r="M900" s="6">
        <v>0</v>
      </c>
      <c r="N900" s="6">
        <v>0</v>
      </c>
      <c r="O900" s="6">
        <v>0</v>
      </c>
      <c r="P900" s="6">
        <f>IF(O900&gt;0,1,0)</f>
        <v>0</v>
      </c>
      <c r="Q900" s="6">
        <v>0</v>
      </c>
      <c r="S900" s="6">
        <v>87.5</v>
      </c>
      <c r="T900" s="6">
        <f>IF(S900="",MEDIAN($S$2:$S$1409),S900)</f>
        <v>87.5</v>
      </c>
    </row>
    <row r="901" spans="1:20" ht="15" customHeight="1">
      <c r="A901" s="6" t="s">
        <v>936</v>
      </c>
      <c r="B901" s="7">
        <v>45703</v>
      </c>
      <c r="C901" s="6" t="s">
        <v>727</v>
      </c>
      <c r="D901" s="6" t="s">
        <v>22</v>
      </c>
      <c r="E901" s="6" t="s">
        <v>23</v>
      </c>
      <c r="F901" s="6" t="str">
        <f>IF(E901="","Unknown",E901)</f>
        <v>Desktop</v>
      </c>
      <c r="G901" s="6" t="s">
        <v>29</v>
      </c>
      <c r="H901" s="6" t="str">
        <f>IF(G901="","Unknown",G901)</f>
        <v>Organic</v>
      </c>
      <c r="I901" s="6" t="s">
        <v>25</v>
      </c>
      <c r="J901" s="6">
        <v>1</v>
      </c>
      <c r="K901" s="6">
        <v>0</v>
      </c>
      <c r="L901" s="6">
        <v>0</v>
      </c>
      <c r="M901" s="6">
        <v>0</v>
      </c>
      <c r="N901" s="6">
        <v>0</v>
      </c>
      <c r="O901" s="6">
        <v>2</v>
      </c>
      <c r="P901" s="6">
        <f>IF(O901&gt;0,1,0)</f>
        <v>1</v>
      </c>
      <c r="Q901" s="6">
        <v>0</v>
      </c>
      <c r="S901" s="6">
        <v>65.400000000000006</v>
      </c>
      <c r="T901" s="6">
        <f>IF(S901="",MEDIAN($S$2:$S$1409),S901)</f>
        <v>65.400000000000006</v>
      </c>
    </row>
    <row r="902" spans="1:20" ht="15" customHeight="1">
      <c r="A902" s="6" t="s">
        <v>937</v>
      </c>
      <c r="B902" s="7">
        <v>45765</v>
      </c>
      <c r="C902" s="6" t="s">
        <v>727</v>
      </c>
      <c r="D902" s="6" t="s">
        <v>36</v>
      </c>
      <c r="E902" s="6" t="s">
        <v>23</v>
      </c>
      <c r="F902" s="6" t="str">
        <f>IF(E902="","Unknown",E902)</f>
        <v>Desktop</v>
      </c>
      <c r="G902" s="6" t="s">
        <v>29</v>
      </c>
      <c r="H902" s="6" t="str">
        <f>IF(G902="","Unknown",G902)</f>
        <v>Organic</v>
      </c>
      <c r="I902" s="6" t="s">
        <v>30</v>
      </c>
      <c r="J902" s="6">
        <v>1</v>
      </c>
      <c r="K902" s="6">
        <v>0</v>
      </c>
      <c r="L902" s="6">
        <v>0</v>
      </c>
      <c r="M902" s="6">
        <v>0</v>
      </c>
      <c r="N902" s="6">
        <v>0</v>
      </c>
      <c r="O902" s="6">
        <v>0</v>
      </c>
      <c r="P902" s="6">
        <f>IF(O902&gt;0,1,0)</f>
        <v>0</v>
      </c>
      <c r="Q902" s="6">
        <v>0</v>
      </c>
      <c r="S902" s="6">
        <v>22.9</v>
      </c>
      <c r="T902" s="6">
        <f>IF(S902="",MEDIAN($S$2:$S$1409),S902)</f>
        <v>22.9</v>
      </c>
    </row>
    <row r="903" spans="1:20" ht="15" customHeight="1">
      <c r="A903" s="6" t="s">
        <v>938</v>
      </c>
      <c r="B903" s="7">
        <v>45730</v>
      </c>
      <c r="C903" s="6" t="s">
        <v>727</v>
      </c>
      <c r="D903" s="6" t="s">
        <v>27</v>
      </c>
      <c r="E903" s="6" t="s">
        <v>23</v>
      </c>
      <c r="F903" s="6" t="str">
        <f>IF(E903="","Unknown",E903)</f>
        <v>Desktop</v>
      </c>
      <c r="G903" s="6" t="s">
        <v>29</v>
      </c>
      <c r="H903" s="6" t="str">
        <f>IF(G903="","Unknown",G903)</f>
        <v>Organic</v>
      </c>
      <c r="I903" s="6" t="s">
        <v>34</v>
      </c>
      <c r="J903" s="6">
        <v>0</v>
      </c>
      <c r="K903" s="6">
        <v>0</v>
      </c>
      <c r="L903" s="6">
        <v>0</v>
      </c>
      <c r="M903" s="6">
        <v>0</v>
      </c>
      <c r="N903" s="6">
        <v>0</v>
      </c>
      <c r="O903" s="6">
        <v>0</v>
      </c>
      <c r="P903" s="6">
        <f>IF(O903&gt;0,1,0)</f>
        <v>0</v>
      </c>
      <c r="Q903" s="6">
        <v>0</v>
      </c>
      <c r="S903" s="6">
        <v>64.599999999999994</v>
      </c>
      <c r="T903" s="6">
        <f>IF(S903="",MEDIAN($S$2:$S$1409),S903)</f>
        <v>64.599999999999994</v>
      </c>
    </row>
    <row r="904" spans="1:20" ht="15" customHeight="1">
      <c r="A904" s="6" t="s">
        <v>939</v>
      </c>
      <c r="B904" s="7">
        <v>45745</v>
      </c>
      <c r="C904" s="6" t="s">
        <v>727</v>
      </c>
      <c r="D904" s="6" t="s">
        <v>36</v>
      </c>
      <c r="E904" s="6" t="s">
        <v>28</v>
      </c>
      <c r="F904" s="6" t="str">
        <f>IF(E904="","Unknown",E904)</f>
        <v>Mobile</v>
      </c>
      <c r="G904" s="6" t="s">
        <v>43</v>
      </c>
      <c r="H904" s="6" t="str">
        <f>IF(G904="","Unknown",G904)</f>
        <v>Referral</v>
      </c>
      <c r="I904" s="6" t="s">
        <v>30</v>
      </c>
      <c r="J904" s="6">
        <v>1</v>
      </c>
      <c r="K904" s="6">
        <v>0</v>
      </c>
      <c r="L904" s="6">
        <v>0</v>
      </c>
      <c r="M904" s="6">
        <v>0</v>
      </c>
      <c r="N904" s="6">
        <v>0</v>
      </c>
      <c r="O904" s="6">
        <v>2</v>
      </c>
      <c r="P904" s="6">
        <f>IF(O904&gt;0,1,0)</f>
        <v>1</v>
      </c>
      <c r="Q904" s="6">
        <v>0</v>
      </c>
      <c r="S904" s="6">
        <v>54.4</v>
      </c>
      <c r="T904" s="6">
        <f>IF(S904="",MEDIAN($S$2:$S$1409),S904)</f>
        <v>54.4</v>
      </c>
    </row>
    <row r="905" spans="1:20" ht="15" customHeight="1">
      <c r="A905" s="6" t="s">
        <v>940</v>
      </c>
      <c r="B905" s="7">
        <v>45701</v>
      </c>
      <c r="C905" s="6" t="s">
        <v>727</v>
      </c>
      <c r="D905" s="6" t="s">
        <v>22</v>
      </c>
      <c r="E905" s="6" t="s">
        <v>23</v>
      </c>
      <c r="F905" s="6" t="str">
        <f>IF(E905="","Unknown",E905)</f>
        <v>Desktop</v>
      </c>
      <c r="G905" s="6" t="s">
        <v>29</v>
      </c>
      <c r="H905" s="6" t="str">
        <f>IF(G905="","Unknown",G905)</f>
        <v>Organic</v>
      </c>
      <c r="I905" s="6" t="s">
        <v>30</v>
      </c>
      <c r="J905" s="6">
        <v>1</v>
      </c>
      <c r="K905" s="6">
        <v>1</v>
      </c>
      <c r="L905" s="6">
        <v>1</v>
      </c>
      <c r="M905" s="6">
        <v>0</v>
      </c>
      <c r="N905" s="6">
        <v>0</v>
      </c>
      <c r="O905" s="6">
        <v>0</v>
      </c>
      <c r="P905" s="6">
        <f>IF(O905&gt;0,1,0)</f>
        <v>0</v>
      </c>
      <c r="Q905" s="6">
        <v>0</v>
      </c>
      <c r="S905" s="6">
        <v>56.8</v>
      </c>
      <c r="T905" s="6">
        <f>IF(S905="",MEDIAN($S$2:$S$1409),S905)</f>
        <v>56.8</v>
      </c>
    </row>
    <row r="906" spans="1:20" ht="15" customHeight="1">
      <c r="A906" s="6" t="s">
        <v>941</v>
      </c>
      <c r="B906" s="7">
        <v>45680</v>
      </c>
      <c r="C906" s="6" t="s">
        <v>727</v>
      </c>
      <c r="D906" s="6" t="s">
        <v>36</v>
      </c>
      <c r="E906" s="6" t="s">
        <v>28</v>
      </c>
      <c r="F906" s="6" t="str">
        <f>IF(E906="","Unknown",E906)</f>
        <v>Mobile</v>
      </c>
      <c r="G906" s="6" t="s">
        <v>33</v>
      </c>
      <c r="H906" s="6" t="str">
        <f>IF(G906="","Unknown",G906)</f>
        <v>Paid Search</v>
      </c>
      <c r="I906" s="6" t="s">
        <v>30</v>
      </c>
      <c r="J906" s="6">
        <v>1</v>
      </c>
      <c r="K906" s="6">
        <v>1</v>
      </c>
      <c r="L906" s="6">
        <v>1</v>
      </c>
      <c r="M906" s="6">
        <v>1</v>
      </c>
      <c r="N906" s="6">
        <v>341.38</v>
      </c>
      <c r="O906" s="6">
        <v>0</v>
      </c>
      <c r="P906" s="6">
        <f>IF(O906&gt;0,1,0)</f>
        <v>0</v>
      </c>
      <c r="Q906" s="6">
        <v>0</v>
      </c>
      <c r="R906" s="6">
        <v>2</v>
      </c>
      <c r="S906" s="6">
        <v>63.6</v>
      </c>
      <c r="T906" s="6">
        <f>IF(S906="",MEDIAN($S$2:$S$1409),S906)</f>
        <v>63.6</v>
      </c>
    </row>
    <row r="907" spans="1:20" ht="15" customHeight="1">
      <c r="A907" s="6" t="s">
        <v>942</v>
      </c>
      <c r="B907" s="7">
        <v>45712</v>
      </c>
      <c r="C907" s="6" t="s">
        <v>727</v>
      </c>
      <c r="D907" s="6" t="s">
        <v>32</v>
      </c>
      <c r="E907" s="6" t="s">
        <v>28</v>
      </c>
      <c r="F907" s="6" t="str">
        <f>IF(E907="","Unknown",E907)</f>
        <v>Mobile</v>
      </c>
      <c r="G907" s="6" t="s">
        <v>45</v>
      </c>
      <c r="H907" s="6" t="str">
        <f>IF(G907="","Unknown",G907)</f>
        <v>Social</v>
      </c>
      <c r="I907" s="6" t="s">
        <v>30</v>
      </c>
      <c r="J907" s="6">
        <v>1</v>
      </c>
      <c r="K907" s="6">
        <v>0</v>
      </c>
      <c r="L907" s="6">
        <v>0</v>
      </c>
      <c r="M907" s="6">
        <v>0</v>
      </c>
      <c r="N907" s="6">
        <v>0</v>
      </c>
      <c r="O907" s="6">
        <v>0</v>
      </c>
      <c r="P907" s="6">
        <f>IF(O907&gt;0,1,0)</f>
        <v>0</v>
      </c>
      <c r="Q907" s="6">
        <v>0</v>
      </c>
      <c r="S907" s="6">
        <v>58.2</v>
      </c>
      <c r="T907" s="6">
        <f>IF(S907="",MEDIAN($S$2:$S$1409),S907)</f>
        <v>58.2</v>
      </c>
    </row>
    <row r="908" spans="1:20" ht="15" customHeight="1">
      <c r="A908" s="6" t="s">
        <v>943</v>
      </c>
      <c r="B908" s="7">
        <v>45716</v>
      </c>
      <c r="C908" s="6" t="s">
        <v>727</v>
      </c>
      <c r="D908" s="6" t="s">
        <v>27</v>
      </c>
      <c r="E908" s="6" t="s">
        <v>28</v>
      </c>
      <c r="F908" s="6" t="str">
        <f>IF(E908="","Unknown",E908)</f>
        <v>Mobile</v>
      </c>
      <c r="G908" s="6" t="s">
        <v>33</v>
      </c>
      <c r="H908" s="6" t="str">
        <f>IF(G908="","Unknown",G908)</f>
        <v>Paid Search</v>
      </c>
      <c r="I908" s="6" t="s">
        <v>30</v>
      </c>
      <c r="J908" s="6">
        <v>1</v>
      </c>
      <c r="K908" s="6">
        <v>1</v>
      </c>
      <c r="L908" s="6">
        <v>0</v>
      </c>
      <c r="M908" s="6">
        <v>0</v>
      </c>
      <c r="N908" s="6">
        <v>0</v>
      </c>
      <c r="O908" s="6">
        <v>0</v>
      </c>
      <c r="P908" s="6">
        <f>IF(O908&gt;0,1,0)</f>
        <v>0</v>
      </c>
      <c r="Q908" s="6">
        <v>0</v>
      </c>
      <c r="S908" s="6">
        <v>54.6</v>
      </c>
      <c r="T908" s="6">
        <f>IF(S908="",MEDIAN($S$2:$S$1409),S908)</f>
        <v>54.6</v>
      </c>
    </row>
    <row r="909" spans="1:20" ht="15" customHeight="1">
      <c r="A909" s="6" t="s">
        <v>944</v>
      </c>
      <c r="B909" s="7">
        <v>45664</v>
      </c>
      <c r="C909" s="6" t="s">
        <v>727</v>
      </c>
      <c r="D909" s="6" t="s">
        <v>27</v>
      </c>
      <c r="E909" s="6" t="s">
        <v>38</v>
      </c>
      <c r="F909" s="6" t="str">
        <f>IF(E909="","Unknown",E909)</f>
        <v>Tablet</v>
      </c>
      <c r="G909" s="6" t="s">
        <v>29</v>
      </c>
      <c r="H909" s="6" t="str">
        <f>IF(G909="","Unknown",G909)</f>
        <v>Organic</v>
      </c>
      <c r="I909" s="6" t="s">
        <v>25</v>
      </c>
      <c r="J909" s="6">
        <v>1</v>
      </c>
      <c r="K909" s="6">
        <v>0</v>
      </c>
      <c r="L909" s="6">
        <v>0</v>
      </c>
      <c r="M909" s="6">
        <v>0</v>
      </c>
      <c r="N909" s="6">
        <v>0</v>
      </c>
      <c r="O909" s="6">
        <v>0</v>
      </c>
      <c r="P909" s="6">
        <f>IF(O909&gt;0,1,0)</f>
        <v>0</v>
      </c>
      <c r="Q909" s="6">
        <v>0</v>
      </c>
      <c r="S909" s="6">
        <v>81.900000000000006</v>
      </c>
      <c r="T909" s="6">
        <f>IF(S909="",MEDIAN($S$2:$S$1409),S909)</f>
        <v>81.900000000000006</v>
      </c>
    </row>
    <row r="910" spans="1:20" ht="15" customHeight="1">
      <c r="A910" s="6" t="s">
        <v>945</v>
      </c>
      <c r="B910" s="7">
        <v>45737</v>
      </c>
      <c r="C910" s="6" t="s">
        <v>727</v>
      </c>
      <c r="D910" s="6" t="s">
        <v>27</v>
      </c>
      <c r="E910" s="6" t="s">
        <v>23</v>
      </c>
      <c r="F910" s="6" t="str">
        <f>IF(E910="","Unknown",E910)</f>
        <v>Desktop</v>
      </c>
      <c r="G910" s="6" t="s">
        <v>24</v>
      </c>
      <c r="H910" s="6" t="str">
        <f>IF(G910="","Unknown",G910)</f>
        <v>Email</v>
      </c>
      <c r="I910" s="6" t="s">
        <v>30</v>
      </c>
      <c r="J910" s="6">
        <v>1</v>
      </c>
      <c r="K910" s="6">
        <v>0</v>
      </c>
      <c r="L910" s="6">
        <v>0</v>
      </c>
      <c r="M910" s="6">
        <v>0</v>
      </c>
      <c r="N910" s="6">
        <v>0</v>
      </c>
      <c r="O910" s="6">
        <v>3</v>
      </c>
      <c r="P910" s="6">
        <f>IF(O910&gt;0,1,0)</f>
        <v>1</v>
      </c>
      <c r="Q910" s="6">
        <v>0</v>
      </c>
      <c r="S910" s="6">
        <v>53.3</v>
      </c>
      <c r="T910" s="6">
        <f>IF(S910="",MEDIAN($S$2:$S$1409),S910)</f>
        <v>53.3</v>
      </c>
    </row>
    <row r="911" spans="1:20" ht="15" customHeight="1">
      <c r="A911" s="6" t="s">
        <v>946</v>
      </c>
      <c r="B911" s="7">
        <v>45706</v>
      </c>
      <c r="C911" s="6" t="s">
        <v>727</v>
      </c>
      <c r="D911" s="6" t="s">
        <v>22</v>
      </c>
      <c r="E911" s="6" t="s">
        <v>23</v>
      </c>
      <c r="F911" s="6" t="str">
        <f>IF(E911="","Unknown",E911)</f>
        <v>Desktop</v>
      </c>
      <c r="G911" s="6" t="s">
        <v>29</v>
      </c>
      <c r="H911" s="6" t="str">
        <f>IF(G911="","Unknown",G911)</f>
        <v>Organic</v>
      </c>
      <c r="I911" s="6" t="s">
        <v>25</v>
      </c>
      <c r="J911" s="6">
        <v>0</v>
      </c>
      <c r="K911" s="6">
        <v>0</v>
      </c>
      <c r="L911" s="6">
        <v>0</v>
      </c>
      <c r="M911" s="6">
        <v>0</v>
      </c>
      <c r="N911" s="6">
        <v>0</v>
      </c>
      <c r="O911" s="6">
        <v>0</v>
      </c>
      <c r="P911" s="6">
        <f>IF(O911&gt;0,1,0)</f>
        <v>0</v>
      </c>
      <c r="Q911" s="6">
        <v>0</v>
      </c>
      <c r="S911" s="6">
        <v>54.2</v>
      </c>
      <c r="T911" s="6">
        <f>IF(S911="",MEDIAN($S$2:$S$1409),S911)</f>
        <v>54.2</v>
      </c>
    </row>
    <row r="912" spans="1:20" ht="15" customHeight="1">
      <c r="A912" s="6" t="s">
        <v>947</v>
      </c>
      <c r="B912" s="7">
        <v>45662</v>
      </c>
      <c r="C912" s="6" t="s">
        <v>727</v>
      </c>
      <c r="D912" s="6" t="s">
        <v>22</v>
      </c>
      <c r="E912" s="6" t="s">
        <v>28</v>
      </c>
      <c r="F912" s="6" t="str">
        <f>IF(E912="","Unknown",E912)</f>
        <v>Mobile</v>
      </c>
      <c r="G912" s="6" t="s">
        <v>33</v>
      </c>
      <c r="H912" s="6" t="str">
        <f>IF(G912="","Unknown",G912)</f>
        <v>Paid Search</v>
      </c>
      <c r="I912" s="6" t="s">
        <v>30</v>
      </c>
      <c r="J912" s="6">
        <v>1</v>
      </c>
      <c r="K912" s="6">
        <v>1</v>
      </c>
      <c r="L912" s="6">
        <v>0</v>
      </c>
      <c r="M912" s="6">
        <v>0</v>
      </c>
      <c r="N912" s="6">
        <v>0</v>
      </c>
      <c r="O912" s="6">
        <v>0</v>
      </c>
      <c r="P912" s="6">
        <f>IF(O912&gt;0,1,0)</f>
        <v>0</v>
      </c>
      <c r="Q912" s="6">
        <v>0</v>
      </c>
      <c r="S912" s="6">
        <v>65.599999999999994</v>
      </c>
      <c r="T912" s="6">
        <f>IF(S912="",MEDIAN($S$2:$S$1409),S912)</f>
        <v>65.599999999999994</v>
      </c>
    </row>
    <row r="913" spans="1:20" ht="15" customHeight="1">
      <c r="A913" s="6" t="s">
        <v>948</v>
      </c>
      <c r="B913" s="7">
        <v>45727</v>
      </c>
      <c r="C913" s="6" t="s">
        <v>727</v>
      </c>
      <c r="D913" s="6" t="s">
        <v>32</v>
      </c>
      <c r="E913" s="6" t="s">
        <v>23</v>
      </c>
      <c r="F913" s="6" t="str">
        <f>IF(E913="","Unknown",E913)</f>
        <v>Desktop</v>
      </c>
      <c r="G913" s="6" t="s">
        <v>29</v>
      </c>
      <c r="H913" s="6" t="str">
        <f>IF(G913="","Unknown",G913)</f>
        <v>Organic</v>
      </c>
      <c r="I913" s="6" t="s">
        <v>25</v>
      </c>
      <c r="J913" s="6">
        <v>1</v>
      </c>
      <c r="K913" s="6">
        <v>0</v>
      </c>
      <c r="L913" s="6">
        <v>0</v>
      </c>
      <c r="M913" s="6">
        <v>0</v>
      </c>
      <c r="N913" s="6">
        <v>0</v>
      </c>
      <c r="O913" s="6">
        <v>1</v>
      </c>
      <c r="P913" s="6">
        <f>IF(O913&gt;0,1,0)</f>
        <v>1</v>
      </c>
      <c r="Q913" s="6">
        <v>0</v>
      </c>
      <c r="S913" s="6">
        <v>56.5</v>
      </c>
      <c r="T913" s="6">
        <f>IF(S913="",MEDIAN($S$2:$S$1409),S913)</f>
        <v>56.5</v>
      </c>
    </row>
    <row r="914" spans="1:20" ht="15" customHeight="1">
      <c r="A914" s="6" t="s">
        <v>949</v>
      </c>
      <c r="B914" s="7">
        <v>45666</v>
      </c>
      <c r="C914" s="6" t="s">
        <v>727</v>
      </c>
      <c r="D914" s="6" t="s">
        <v>22</v>
      </c>
      <c r="E914" s="6" t="s">
        <v>23</v>
      </c>
      <c r="F914" s="6" t="str">
        <f>IF(E914="","Unknown",E914)</f>
        <v>Desktop</v>
      </c>
      <c r="G914" s="6" t="s">
        <v>29</v>
      </c>
      <c r="H914" s="6" t="str">
        <f>IF(G914="","Unknown",G914)</f>
        <v>Organic</v>
      </c>
      <c r="I914" s="6" t="s">
        <v>25</v>
      </c>
      <c r="J914" s="6">
        <v>1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f>IF(O914&gt;0,1,0)</f>
        <v>0</v>
      </c>
      <c r="Q914" s="6">
        <v>0</v>
      </c>
      <c r="S914" s="6">
        <v>59.7</v>
      </c>
      <c r="T914" s="6">
        <f>IF(S914="",MEDIAN($S$2:$S$1409),S914)</f>
        <v>59.7</v>
      </c>
    </row>
    <row r="915" spans="1:20" ht="15" customHeight="1">
      <c r="A915" s="6" t="s">
        <v>950</v>
      </c>
      <c r="B915" s="7">
        <v>45665</v>
      </c>
      <c r="C915" s="6" t="s">
        <v>727</v>
      </c>
      <c r="D915" s="6" t="s">
        <v>36</v>
      </c>
      <c r="E915" s="6" t="s">
        <v>28</v>
      </c>
      <c r="F915" s="6" t="str">
        <f>IF(E915="","Unknown",E915)</f>
        <v>Mobile</v>
      </c>
      <c r="G915" s="6" t="s">
        <v>29</v>
      </c>
      <c r="H915" s="6" t="str">
        <f>IF(G915="","Unknown",G915)</f>
        <v>Organic</v>
      </c>
      <c r="I915" s="6" t="s">
        <v>30</v>
      </c>
      <c r="J915" s="6">
        <v>1</v>
      </c>
      <c r="K915" s="6">
        <v>1</v>
      </c>
      <c r="L915" s="6">
        <v>1</v>
      </c>
      <c r="M915" s="6">
        <v>0</v>
      </c>
      <c r="N915" s="6">
        <v>0</v>
      </c>
      <c r="O915" s="6">
        <v>0</v>
      </c>
      <c r="P915" s="6">
        <f>IF(O915&gt;0,1,0)</f>
        <v>0</v>
      </c>
      <c r="Q915" s="6">
        <v>0</v>
      </c>
      <c r="S915" s="6">
        <v>72.5</v>
      </c>
      <c r="T915" s="6">
        <f>IF(S915="",MEDIAN($S$2:$S$1409),S915)</f>
        <v>72.5</v>
      </c>
    </row>
    <row r="916" spans="1:20" ht="15" customHeight="1">
      <c r="A916" s="6" t="s">
        <v>951</v>
      </c>
      <c r="B916" s="7">
        <v>45778</v>
      </c>
      <c r="C916" s="6" t="s">
        <v>727</v>
      </c>
      <c r="D916" s="6" t="s">
        <v>32</v>
      </c>
      <c r="E916" s="6" t="s">
        <v>23</v>
      </c>
      <c r="F916" s="6" t="str">
        <f>IF(E916="","Unknown",E916)</f>
        <v>Desktop</v>
      </c>
      <c r="G916" s="6" t="s">
        <v>33</v>
      </c>
      <c r="H916" s="6" t="str">
        <f>IF(G916="","Unknown",G916)</f>
        <v>Paid Search</v>
      </c>
      <c r="I916" s="6" t="s">
        <v>30</v>
      </c>
      <c r="J916" s="6">
        <v>1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f>IF(O916&gt;0,1,0)</f>
        <v>0</v>
      </c>
      <c r="Q916" s="6">
        <v>0</v>
      </c>
      <c r="S916" s="6">
        <v>64.3</v>
      </c>
      <c r="T916" s="6">
        <f>IF(S916="",MEDIAN($S$2:$S$1409),S916)</f>
        <v>64.3</v>
      </c>
    </row>
    <row r="917" spans="1:20" ht="15" customHeight="1">
      <c r="A917" s="6" t="s">
        <v>952</v>
      </c>
      <c r="B917" s="7">
        <v>45719</v>
      </c>
      <c r="C917" s="6" t="s">
        <v>727</v>
      </c>
      <c r="D917" s="6" t="s">
        <v>36</v>
      </c>
      <c r="E917" s="6" t="s">
        <v>28</v>
      </c>
      <c r="F917" s="6" t="str">
        <f>IF(E917="","Unknown",E917)</f>
        <v>Mobile</v>
      </c>
      <c r="G917" s="6" t="s">
        <v>45</v>
      </c>
      <c r="H917" s="6" t="str">
        <f>IF(G917="","Unknown",G917)</f>
        <v>Social</v>
      </c>
      <c r="I917" s="6" t="s">
        <v>30</v>
      </c>
      <c r="J917" s="6">
        <v>1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6">
        <f>IF(O917&gt;0,1,0)</f>
        <v>0</v>
      </c>
      <c r="Q917" s="6">
        <v>0</v>
      </c>
      <c r="S917" s="6">
        <v>64.5</v>
      </c>
      <c r="T917" s="6">
        <f>IF(S917="",MEDIAN($S$2:$S$1409),S917)</f>
        <v>64.5</v>
      </c>
    </row>
    <row r="918" spans="1:20" ht="15" customHeight="1">
      <c r="A918" s="6" t="s">
        <v>953</v>
      </c>
      <c r="B918" s="7">
        <v>45711</v>
      </c>
      <c r="C918" s="6" t="s">
        <v>727</v>
      </c>
      <c r="D918" s="6" t="s">
        <v>27</v>
      </c>
      <c r="E918" s="6" t="s">
        <v>23</v>
      </c>
      <c r="F918" s="6" t="str">
        <f>IF(E918="","Unknown",E918)</f>
        <v>Desktop</v>
      </c>
      <c r="G918" s="6" t="s">
        <v>45</v>
      </c>
      <c r="H918" s="6" t="str">
        <f>IF(G918="","Unknown",G918)</f>
        <v>Social</v>
      </c>
      <c r="I918" s="6" t="s">
        <v>25</v>
      </c>
      <c r="J918" s="6">
        <v>1</v>
      </c>
      <c r="K918" s="6">
        <v>1</v>
      </c>
      <c r="L918" s="6">
        <v>1</v>
      </c>
      <c r="M918" s="6">
        <v>0</v>
      </c>
      <c r="N918" s="6">
        <v>0</v>
      </c>
      <c r="O918" s="6">
        <v>0</v>
      </c>
      <c r="P918" s="6">
        <f>IF(O918&gt;0,1,0)</f>
        <v>0</v>
      </c>
      <c r="Q918" s="6">
        <v>0</v>
      </c>
      <c r="S918" s="6">
        <v>70.599999999999994</v>
      </c>
      <c r="T918" s="6">
        <f>IF(S918="",MEDIAN($S$2:$S$1409),S918)</f>
        <v>70.599999999999994</v>
      </c>
    </row>
    <row r="919" spans="1:20" ht="15" customHeight="1">
      <c r="A919" s="6" t="s">
        <v>954</v>
      </c>
      <c r="B919" s="7">
        <v>45705</v>
      </c>
      <c r="C919" s="6" t="s">
        <v>727</v>
      </c>
      <c r="D919" s="6" t="s">
        <v>36</v>
      </c>
      <c r="E919" s="6" t="s">
        <v>23</v>
      </c>
      <c r="F919" s="6" t="str">
        <f>IF(E919="","Unknown",E919)</f>
        <v>Desktop</v>
      </c>
      <c r="G919" s="6" t="s">
        <v>29</v>
      </c>
      <c r="H919" s="6" t="str">
        <f>IF(G919="","Unknown",G919)</f>
        <v>Organic</v>
      </c>
      <c r="I919" s="6" t="s">
        <v>25</v>
      </c>
      <c r="J919" s="6">
        <v>0</v>
      </c>
      <c r="K919" s="6">
        <v>0</v>
      </c>
      <c r="L919" s="6">
        <v>0</v>
      </c>
      <c r="M919" s="6">
        <v>0</v>
      </c>
      <c r="N919" s="6">
        <v>0</v>
      </c>
      <c r="O919" s="6">
        <v>0</v>
      </c>
      <c r="P919" s="6">
        <f>IF(O919&gt;0,1,0)</f>
        <v>0</v>
      </c>
      <c r="Q919" s="6">
        <v>0</v>
      </c>
      <c r="S919" s="6">
        <v>58.4</v>
      </c>
      <c r="T919" s="6">
        <f>IF(S919="",MEDIAN($S$2:$S$1409),S919)</f>
        <v>58.4</v>
      </c>
    </row>
    <row r="920" spans="1:20" ht="15" customHeight="1">
      <c r="A920" s="6" t="s">
        <v>955</v>
      </c>
      <c r="B920" s="7">
        <v>45798</v>
      </c>
      <c r="C920" s="6" t="s">
        <v>727</v>
      </c>
      <c r="D920" s="6" t="s">
        <v>32</v>
      </c>
      <c r="E920" s="6" t="s">
        <v>28</v>
      </c>
      <c r="F920" s="6" t="str">
        <f>IF(E920="","Unknown",E920)</f>
        <v>Mobile</v>
      </c>
      <c r="G920" s="6" t="s">
        <v>29</v>
      </c>
      <c r="H920" s="6" t="str">
        <f>IF(G920="","Unknown",G920)</f>
        <v>Organic</v>
      </c>
      <c r="I920" s="6" t="s">
        <v>25</v>
      </c>
      <c r="J920" s="6">
        <v>1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f>IF(O920&gt;0,1,0)</f>
        <v>0</v>
      </c>
      <c r="Q920" s="6">
        <v>0</v>
      </c>
      <c r="S920" s="6">
        <v>56.6</v>
      </c>
      <c r="T920" s="6">
        <f>IF(S920="",MEDIAN($S$2:$S$1409),S920)</f>
        <v>56.6</v>
      </c>
    </row>
    <row r="921" spans="1:20" ht="15" customHeight="1">
      <c r="A921" s="6" t="s">
        <v>956</v>
      </c>
      <c r="B921" s="7">
        <v>45687</v>
      </c>
      <c r="C921" s="6" t="s">
        <v>727</v>
      </c>
      <c r="D921" s="6" t="s">
        <v>36</v>
      </c>
      <c r="E921" s="6" t="s">
        <v>28</v>
      </c>
      <c r="F921" s="6" t="str">
        <f>IF(E921="","Unknown",E921)</f>
        <v>Mobile</v>
      </c>
      <c r="G921" s="6" t="s">
        <v>29</v>
      </c>
      <c r="H921" s="6" t="str">
        <f>IF(G921="","Unknown",G921)</f>
        <v>Organic</v>
      </c>
      <c r="I921" s="6" t="s">
        <v>30</v>
      </c>
      <c r="J921" s="6">
        <v>1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f>IF(O921&gt;0,1,0)</f>
        <v>0</v>
      </c>
      <c r="Q921" s="6">
        <v>0</v>
      </c>
      <c r="S921" s="6">
        <v>61.8</v>
      </c>
      <c r="T921" s="6">
        <f>IF(S921="",MEDIAN($S$2:$S$1409),S921)</f>
        <v>61.8</v>
      </c>
    </row>
    <row r="922" spans="1:20" ht="15" customHeight="1">
      <c r="A922" s="6" t="s">
        <v>957</v>
      </c>
      <c r="B922" s="7">
        <v>45736</v>
      </c>
      <c r="C922" s="6" t="s">
        <v>727</v>
      </c>
      <c r="D922" s="6" t="s">
        <v>27</v>
      </c>
      <c r="E922" s="6" t="s">
        <v>28</v>
      </c>
      <c r="F922" s="6" t="str">
        <f>IF(E922="","Unknown",E922)</f>
        <v>Mobile</v>
      </c>
      <c r="G922" s="6" t="s">
        <v>24</v>
      </c>
      <c r="H922" s="6" t="str">
        <f>IF(G922="","Unknown",G922)</f>
        <v>Email</v>
      </c>
      <c r="I922" s="6" t="s">
        <v>30</v>
      </c>
      <c r="J922" s="6">
        <v>1</v>
      </c>
      <c r="K922" s="6">
        <v>1</v>
      </c>
      <c r="L922" s="6">
        <v>1</v>
      </c>
      <c r="M922" s="6">
        <v>1</v>
      </c>
      <c r="N922" s="6">
        <v>513.52</v>
      </c>
      <c r="O922" s="6">
        <v>0</v>
      </c>
      <c r="P922" s="6">
        <f>IF(O922&gt;0,1,0)</f>
        <v>0</v>
      </c>
      <c r="Q922" s="6">
        <v>0</v>
      </c>
      <c r="R922" s="6">
        <v>8</v>
      </c>
      <c r="S922" s="6">
        <v>43.4</v>
      </c>
      <c r="T922" s="6">
        <f>IF(S922="",MEDIAN($S$2:$S$1409),S922)</f>
        <v>43.4</v>
      </c>
    </row>
    <row r="923" spans="1:20" ht="15" customHeight="1">
      <c r="A923" s="6" t="s">
        <v>958</v>
      </c>
      <c r="B923" s="7">
        <v>45757</v>
      </c>
      <c r="C923" s="6" t="s">
        <v>727</v>
      </c>
      <c r="D923" s="6" t="s">
        <v>27</v>
      </c>
      <c r="E923" s="6" t="s">
        <v>38</v>
      </c>
      <c r="F923" s="6" t="str">
        <f>IF(E923="","Unknown",E923)</f>
        <v>Tablet</v>
      </c>
      <c r="G923" s="6" t="s">
        <v>33</v>
      </c>
      <c r="H923" s="6" t="str">
        <f>IF(G923="","Unknown",G923)</f>
        <v>Paid Search</v>
      </c>
      <c r="I923" s="6" t="s">
        <v>30</v>
      </c>
      <c r="J923" s="6">
        <v>0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>
        <f>IF(O923&gt;0,1,0)</f>
        <v>0</v>
      </c>
      <c r="Q923" s="6">
        <v>0</v>
      </c>
      <c r="S923" s="6">
        <v>43</v>
      </c>
      <c r="T923" s="6">
        <f>IF(S923="",MEDIAN($S$2:$S$1409),S923)</f>
        <v>43</v>
      </c>
    </row>
    <row r="924" spans="1:20" ht="15" customHeight="1">
      <c r="A924" s="6" t="s">
        <v>959</v>
      </c>
      <c r="B924" s="7">
        <v>45723</v>
      </c>
      <c r="C924" s="6" t="s">
        <v>727</v>
      </c>
      <c r="D924" s="6" t="s">
        <v>22</v>
      </c>
      <c r="E924" s="6" t="s">
        <v>23</v>
      </c>
      <c r="F924" s="6" t="str">
        <f>IF(E924="","Unknown",E924)</f>
        <v>Desktop</v>
      </c>
      <c r="G924" s="6" t="s">
        <v>29</v>
      </c>
      <c r="H924" s="6" t="str">
        <f>IF(G924="","Unknown",G924)</f>
        <v>Organic</v>
      </c>
      <c r="I924" s="6" t="s">
        <v>30</v>
      </c>
      <c r="J924" s="6">
        <v>1</v>
      </c>
      <c r="K924" s="6">
        <v>1</v>
      </c>
      <c r="L924" s="6">
        <v>1</v>
      </c>
      <c r="M924" s="6">
        <v>0</v>
      </c>
      <c r="N924" s="6">
        <v>0</v>
      </c>
      <c r="O924" s="6">
        <v>0</v>
      </c>
      <c r="P924" s="6">
        <f>IF(O924&gt;0,1,0)</f>
        <v>0</v>
      </c>
      <c r="Q924" s="6">
        <v>0</v>
      </c>
      <c r="S924" s="6">
        <v>51.1</v>
      </c>
      <c r="T924" s="6">
        <f>IF(S924="",MEDIAN($S$2:$S$1409),S924)</f>
        <v>51.1</v>
      </c>
    </row>
    <row r="925" spans="1:20" ht="15" customHeight="1">
      <c r="A925" s="6" t="s">
        <v>960</v>
      </c>
      <c r="B925" s="7">
        <v>45728</v>
      </c>
      <c r="C925" s="6" t="s">
        <v>727</v>
      </c>
      <c r="D925" s="6" t="s">
        <v>27</v>
      </c>
      <c r="E925" s="6" t="s">
        <v>28</v>
      </c>
      <c r="F925" s="6" t="str">
        <f>IF(E925="","Unknown",E925)</f>
        <v>Mobile</v>
      </c>
      <c r="G925" s="6" t="s">
        <v>24</v>
      </c>
      <c r="H925" s="6" t="str">
        <f>IF(G925="","Unknown",G925)</f>
        <v>Email</v>
      </c>
      <c r="I925" s="6" t="s">
        <v>25</v>
      </c>
      <c r="J925" s="6">
        <v>1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f>IF(O925&gt;0,1,0)</f>
        <v>0</v>
      </c>
      <c r="Q925" s="6">
        <v>0</v>
      </c>
      <c r="S925" s="6">
        <v>48.8</v>
      </c>
      <c r="T925" s="6">
        <f>IF(S925="",MEDIAN($S$2:$S$1409),S925)</f>
        <v>48.8</v>
      </c>
    </row>
    <row r="926" spans="1:20" ht="15" customHeight="1">
      <c r="A926" s="6" t="s">
        <v>961</v>
      </c>
      <c r="B926" s="7">
        <v>45712</v>
      </c>
      <c r="C926" s="6" t="s">
        <v>727</v>
      </c>
      <c r="D926" s="6" t="s">
        <v>32</v>
      </c>
      <c r="E926" s="6" t="s">
        <v>28</v>
      </c>
      <c r="F926" s="6" t="str">
        <f>IF(E926="","Unknown",E926)</f>
        <v>Mobile</v>
      </c>
      <c r="G926" s="6" t="s">
        <v>43</v>
      </c>
      <c r="H926" s="6" t="str">
        <f>IF(G926="","Unknown",G926)</f>
        <v>Referral</v>
      </c>
      <c r="I926" s="6" t="s">
        <v>30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f>IF(O926&gt;0,1,0)</f>
        <v>0</v>
      </c>
      <c r="Q926" s="6">
        <v>0</v>
      </c>
      <c r="S926" s="6">
        <v>73.2</v>
      </c>
      <c r="T926" s="6">
        <f>IF(S926="",MEDIAN($S$2:$S$1409),S926)</f>
        <v>73.2</v>
      </c>
    </row>
    <row r="927" spans="1:20" ht="15" customHeight="1">
      <c r="A927" s="6" t="s">
        <v>962</v>
      </c>
      <c r="B927" s="7">
        <v>45672</v>
      </c>
      <c r="C927" s="6" t="s">
        <v>727</v>
      </c>
      <c r="D927" s="6" t="s">
        <v>32</v>
      </c>
      <c r="E927" s="6" t="s">
        <v>28</v>
      </c>
      <c r="F927" s="6" t="str">
        <f>IF(E927="","Unknown",E927)</f>
        <v>Mobile</v>
      </c>
      <c r="G927" s="6" t="s">
        <v>43</v>
      </c>
      <c r="H927" s="6" t="str">
        <f>IF(G927="","Unknown",G927)</f>
        <v>Referral</v>
      </c>
      <c r="I927" s="6" t="s">
        <v>30</v>
      </c>
      <c r="J927" s="6">
        <v>1</v>
      </c>
      <c r="K927" s="6">
        <v>1</v>
      </c>
      <c r="L927" s="6">
        <v>1</v>
      </c>
      <c r="M927" s="6">
        <v>0</v>
      </c>
      <c r="N927" s="6">
        <v>0</v>
      </c>
      <c r="O927" s="6">
        <v>0</v>
      </c>
      <c r="P927" s="6">
        <f>IF(O927&gt;0,1,0)</f>
        <v>0</v>
      </c>
      <c r="Q927" s="6">
        <v>0</v>
      </c>
      <c r="S927" s="6">
        <v>80</v>
      </c>
      <c r="T927" s="6">
        <f>IF(S927="",MEDIAN($S$2:$S$1409),S927)</f>
        <v>80</v>
      </c>
    </row>
    <row r="928" spans="1:20" ht="15" customHeight="1">
      <c r="A928" s="6" t="s">
        <v>963</v>
      </c>
      <c r="B928" s="7">
        <v>45664</v>
      </c>
      <c r="C928" s="6" t="s">
        <v>727</v>
      </c>
      <c r="D928" s="6" t="s">
        <v>22</v>
      </c>
      <c r="E928" s="6" t="s">
        <v>23</v>
      </c>
      <c r="F928" s="6" t="str">
        <f>IF(E928="","Unknown",E928)</f>
        <v>Desktop</v>
      </c>
      <c r="G928" s="6" t="s">
        <v>33</v>
      </c>
      <c r="H928" s="6" t="str">
        <f>IF(G928="","Unknown",G928)</f>
        <v>Paid Search</v>
      </c>
      <c r="I928" s="6" t="s">
        <v>30</v>
      </c>
      <c r="J928" s="6">
        <v>1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f>IF(O928&gt;0,1,0)</f>
        <v>0</v>
      </c>
      <c r="Q928" s="6">
        <v>0</v>
      </c>
      <c r="S928" s="6">
        <v>52.3</v>
      </c>
      <c r="T928" s="6">
        <f>IF(S928="",MEDIAN($S$2:$S$1409),S928)</f>
        <v>52.3</v>
      </c>
    </row>
    <row r="929" spans="1:20" ht="15" customHeight="1">
      <c r="A929" s="6" t="s">
        <v>964</v>
      </c>
      <c r="B929" s="7">
        <v>45718</v>
      </c>
      <c r="C929" s="6" t="s">
        <v>727</v>
      </c>
      <c r="D929" s="6" t="s">
        <v>22</v>
      </c>
      <c r="E929" s="6" t="s">
        <v>23</v>
      </c>
      <c r="F929" s="6" t="str">
        <f>IF(E929="","Unknown",E929)</f>
        <v>Desktop</v>
      </c>
      <c r="G929" s="6" t="s">
        <v>29</v>
      </c>
      <c r="H929" s="6" t="str">
        <f>IF(G929="","Unknown",G929)</f>
        <v>Organic</v>
      </c>
      <c r="I929" s="6" t="s">
        <v>30</v>
      </c>
      <c r="J929" s="6">
        <v>0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>
        <f>IF(O929&gt;0,1,0)</f>
        <v>0</v>
      </c>
      <c r="Q929" s="6">
        <v>0</v>
      </c>
      <c r="S929" s="6">
        <v>49.1</v>
      </c>
      <c r="T929" s="6">
        <f>IF(S929="",MEDIAN($S$2:$S$1409),S929)</f>
        <v>49.1</v>
      </c>
    </row>
    <row r="930" spans="1:20" ht="15" customHeight="1">
      <c r="A930" s="6" t="s">
        <v>965</v>
      </c>
      <c r="B930" s="7">
        <v>45662</v>
      </c>
      <c r="C930" s="6" t="s">
        <v>727</v>
      </c>
      <c r="D930" s="6" t="s">
        <v>36</v>
      </c>
      <c r="E930" s="6" t="s">
        <v>23</v>
      </c>
      <c r="F930" s="6" t="str">
        <f>IF(E930="","Unknown",E930)</f>
        <v>Desktop</v>
      </c>
      <c r="G930" s="6" t="s">
        <v>43</v>
      </c>
      <c r="H930" s="6" t="str">
        <f>IF(G930="","Unknown",G930)</f>
        <v>Referral</v>
      </c>
      <c r="I930" s="6" t="s">
        <v>25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>
        <f>IF(O930&gt;0,1,0)</f>
        <v>0</v>
      </c>
      <c r="Q930" s="6">
        <v>0</v>
      </c>
      <c r="S930" s="6">
        <v>45.3</v>
      </c>
      <c r="T930" s="6">
        <f>IF(S930="",MEDIAN($S$2:$S$1409),S930)</f>
        <v>45.3</v>
      </c>
    </row>
    <row r="931" spans="1:20" ht="15" customHeight="1">
      <c r="A931" s="6" t="s">
        <v>966</v>
      </c>
      <c r="B931" s="7">
        <v>45719</v>
      </c>
      <c r="C931" s="6" t="s">
        <v>727</v>
      </c>
      <c r="D931" s="6" t="s">
        <v>36</v>
      </c>
      <c r="E931" s="6" t="s">
        <v>28</v>
      </c>
      <c r="F931" s="6" t="str">
        <f>IF(E931="","Unknown",E931)</f>
        <v>Mobile</v>
      </c>
      <c r="G931" s="6" t="s">
        <v>29</v>
      </c>
      <c r="H931" s="6" t="str">
        <f>IF(G931="","Unknown",G931)</f>
        <v>Organic</v>
      </c>
      <c r="I931" s="6" t="s">
        <v>30</v>
      </c>
      <c r="J931" s="6">
        <v>1</v>
      </c>
      <c r="K931" s="6">
        <v>1</v>
      </c>
      <c r="L931" s="6">
        <v>0</v>
      </c>
      <c r="M931" s="6">
        <v>0</v>
      </c>
      <c r="N931" s="6">
        <v>0</v>
      </c>
      <c r="O931" s="6">
        <v>0</v>
      </c>
      <c r="P931" s="6">
        <f>IF(O931&gt;0,1,0)</f>
        <v>0</v>
      </c>
      <c r="Q931" s="6">
        <v>0</v>
      </c>
      <c r="S931" s="6">
        <v>49.1</v>
      </c>
      <c r="T931" s="6">
        <f>IF(S931="",MEDIAN($S$2:$S$1409),S931)</f>
        <v>49.1</v>
      </c>
    </row>
    <row r="932" spans="1:20" ht="15" customHeight="1">
      <c r="A932" s="6" t="s">
        <v>967</v>
      </c>
      <c r="B932" s="7">
        <v>45747</v>
      </c>
      <c r="C932" s="6" t="s">
        <v>727</v>
      </c>
      <c r="D932" s="6" t="s">
        <v>32</v>
      </c>
      <c r="E932" s="6" t="s">
        <v>23</v>
      </c>
      <c r="F932" s="6" t="str">
        <f>IF(E932="","Unknown",E932)</f>
        <v>Desktop</v>
      </c>
      <c r="G932" s="6" t="s">
        <v>43</v>
      </c>
      <c r="H932" s="6" t="str">
        <f>IF(G932="","Unknown",G932)</f>
        <v>Referral</v>
      </c>
      <c r="I932" s="6" t="s">
        <v>30</v>
      </c>
      <c r="J932" s="6">
        <v>1</v>
      </c>
      <c r="K932" s="6">
        <v>1</v>
      </c>
      <c r="L932" s="6">
        <v>1</v>
      </c>
      <c r="M932" s="6">
        <v>1</v>
      </c>
      <c r="N932" s="6">
        <v>476.44</v>
      </c>
      <c r="O932" s="6">
        <v>0</v>
      </c>
      <c r="P932" s="6">
        <f>IF(O932&gt;0,1,0)</f>
        <v>0</v>
      </c>
      <c r="Q932" s="6">
        <v>0</v>
      </c>
      <c r="R932" s="6">
        <v>3</v>
      </c>
      <c r="S932" s="6">
        <v>88.6</v>
      </c>
      <c r="T932" s="6">
        <f>IF(S932="",MEDIAN($S$2:$S$1409),S932)</f>
        <v>88.6</v>
      </c>
    </row>
    <row r="933" spans="1:20" ht="15" customHeight="1">
      <c r="A933" s="6" t="s">
        <v>968</v>
      </c>
      <c r="B933" s="7">
        <v>45671</v>
      </c>
      <c r="C933" s="6" t="s">
        <v>727</v>
      </c>
      <c r="D933" s="6" t="s">
        <v>32</v>
      </c>
      <c r="E933" s="6" t="s">
        <v>23</v>
      </c>
      <c r="F933" s="6" t="str">
        <f>IF(E933="","Unknown",E933)</f>
        <v>Desktop</v>
      </c>
      <c r="G933" s="6" t="s">
        <v>33</v>
      </c>
      <c r="H933" s="6" t="str">
        <f>IF(G933="","Unknown",G933)</f>
        <v>Paid Search</v>
      </c>
      <c r="I933" s="6" t="s">
        <v>34</v>
      </c>
      <c r="J933" s="6">
        <v>0</v>
      </c>
      <c r="K933" s="6">
        <v>0</v>
      </c>
      <c r="L933" s="6">
        <v>0</v>
      </c>
      <c r="M933" s="6">
        <v>0</v>
      </c>
      <c r="N933" s="6">
        <v>0</v>
      </c>
      <c r="O933" s="6">
        <v>1</v>
      </c>
      <c r="P933" s="6">
        <f>IF(O933&gt;0,1,0)</f>
        <v>1</v>
      </c>
      <c r="Q933" s="6">
        <v>0</v>
      </c>
      <c r="S933" s="6">
        <v>54.4</v>
      </c>
      <c r="T933" s="6">
        <f>IF(S933="",MEDIAN($S$2:$S$1409),S933)</f>
        <v>54.4</v>
      </c>
    </row>
    <row r="934" spans="1:20" ht="15" customHeight="1">
      <c r="A934" s="6" t="s">
        <v>969</v>
      </c>
      <c r="B934" s="7">
        <v>45672</v>
      </c>
      <c r="C934" s="6" t="s">
        <v>727</v>
      </c>
      <c r="D934" s="6" t="s">
        <v>27</v>
      </c>
      <c r="E934" s="6" t="s">
        <v>23</v>
      </c>
      <c r="F934" s="6" t="str">
        <f>IF(E934="","Unknown",E934)</f>
        <v>Desktop</v>
      </c>
      <c r="G934" s="6" t="s">
        <v>33</v>
      </c>
      <c r="H934" s="6" t="str">
        <f>IF(G934="","Unknown",G934)</f>
        <v>Paid Search</v>
      </c>
      <c r="I934" s="6" t="s">
        <v>34</v>
      </c>
      <c r="J934" s="6">
        <v>1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f>IF(O934&gt;0,1,0)</f>
        <v>0</v>
      </c>
      <c r="Q934" s="6">
        <v>0</v>
      </c>
      <c r="S934" s="6">
        <v>72.900000000000006</v>
      </c>
      <c r="T934" s="6">
        <f>IF(S934="",MEDIAN($S$2:$S$1409),S934)</f>
        <v>72.900000000000006</v>
      </c>
    </row>
    <row r="935" spans="1:20" ht="15" customHeight="1">
      <c r="A935" s="6" t="s">
        <v>970</v>
      </c>
      <c r="B935" s="7">
        <v>45772</v>
      </c>
      <c r="C935" s="6" t="s">
        <v>727</v>
      </c>
      <c r="D935" s="6" t="s">
        <v>27</v>
      </c>
      <c r="E935" s="6" t="s">
        <v>23</v>
      </c>
      <c r="F935" s="6" t="str">
        <f>IF(E935="","Unknown",E935)</f>
        <v>Desktop</v>
      </c>
      <c r="G935" s="6" t="s">
        <v>29</v>
      </c>
      <c r="H935" s="6" t="str">
        <f>IF(G935="","Unknown",G935)</f>
        <v>Organic</v>
      </c>
      <c r="I935" s="6" t="s">
        <v>30</v>
      </c>
      <c r="J935" s="6">
        <v>1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f>IF(O935&gt;0,1,0)</f>
        <v>0</v>
      </c>
      <c r="Q935" s="6">
        <v>0</v>
      </c>
      <c r="S935" s="6">
        <v>53.2</v>
      </c>
      <c r="T935" s="6">
        <f>IF(S935="",MEDIAN($S$2:$S$1409),S935)</f>
        <v>53.2</v>
      </c>
    </row>
    <row r="936" spans="1:20" ht="15" customHeight="1">
      <c r="A936" s="6" t="s">
        <v>971</v>
      </c>
      <c r="B936" s="7">
        <v>45737</v>
      </c>
      <c r="C936" s="6" t="s">
        <v>727</v>
      </c>
      <c r="D936" s="6" t="s">
        <v>32</v>
      </c>
      <c r="E936" s="6" t="s">
        <v>28</v>
      </c>
      <c r="F936" s="6" t="str">
        <f>IF(E936="","Unknown",E936)</f>
        <v>Mobile</v>
      </c>
      <c r="G936" s="6" t="s">
        <v>29</v>
      </c>
      <c r="H936" s="6" t="str">
        <f>IF(G936="","Unknown",G936)</f>
        <v>Organic</v>
      </c>
      <c r="I936" s="6" t="s">
        <v>25</v>
      </c>
      <c r="J936" s="6">
        <v>1</v>
      </c>
      <c r="K936" s="6">
        <v>1</v>
      </c>
      <c r="L936" s="6">
        <v>0</v>
      </c>
      <c r="M936" s="6">
        <v>0</v>
      </c>
      <c r="N936" s="6">
        <v>0</v>
      </c>
      <c r="O936" s="6">
        <v>0</v>
      </c>
      <c r="P936" s="6">
        <f>IF(O936&gt;0,1,0)</f>
        <v>0</v>
      </c>
      <c r="Q936" s="6">
        <v>0</v>
      </c>
      <c r="S936" s="6">
        <v>48.7</v>
      </c>
      <c r="T936" s="6">
        <f>IF(S936="",MEDIAN($S$2:$S$1409),S936)</f>
        <v>48.7</v>
      </c>
    </row>
    <row r="937" spans="1:20" ht="15" customHeight="1">
      <c r="A937" s="6" t="s">
        <v>972</v>
      </c>
      <c r="B937" s="7">
        <v>45773</v>
      </c>
      <c r="C937" s="6" t="s">
        <v>727</v>
      </c>
      <c r="D937" s="6" t="s">
        <v>36</v>
      </c>
      <c r="E937" s="6" t="s">
        <v>28</v>
      </c>
      <c r="F937" s="6" t="str">
        <f>IF(E937="","Unknown",E937)</f>
        <v>Mobile</v>
      </c>
      <c r="G937" s="6" t="s">
        <v>33</v>
      </c>
      <c r="H937" s="6" t="str">
        <f>IF(G937="","Unknown",G937)</f>
        <v>Paid Search</v>
      </c>
      <c r="I937" s="6" t="s">
        <v>25</v>
      </c>
      <c r="J937" s="6">
        <v>1</v>
      </c>
      <c r="K937" s="6">
        <v>1</v>
      </c>
      <c r="L937" s="6">
        <v>1</v>
      </c>
      <c r="M937" s="6">
        <v>0</v>
      </c>
      <c r="N937" s="6">
        <v>0</v>
      </c>
      <c r="O937" s="6">
        <v>0</v>
      </c>
      <c r="P937" s="6">
        <f>IF(O937&gt;0,1,0)</f>
        <v>0</v>
      </c>
      <c r="Q937" s="6">
        <v>0</v>
      </c>
      <c r="S937" s="6">
        <v>59.9</v>
      </c>
      <c r="T937" s="6">
        <f>IF(S937="",MEDIAN($S$2:$S$1409),S937)</f>
        <v>59.9</v>
      </c>
    </row>
    <row r="938" spans="1:20" ht="15" customHeight="1">
      <c r="A938" s="6" t="s">
        <v>973</v>
      </c>
      <c r="B938" s="7">
        <v>45798</v>
      </c>
      <c r="C938" s="6" t="s">
        <v>727</v>
      </c>
      <c r="D938" s="6" t="s">
        <v>36</v>
      </c>
      <c r="E938" s="6" t="s">
        <v>23</v>
      </c>
      <c r="F938" s="6" t="str">
        <f>IF(E938="","Unknown",E938)</f>
        <v>Desktop</v>
      </c>
      <c r="G938" s="6"/>
      <c r="H938" s="6" t="str">
        <f>IF(G938="","Unknown",G938)</f>
        <v>Unknown</v>
      </c>
      <c r="I938" s="6" t="s">
        <v>25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f>IF(O938&gt;0,1,0)</f>
        <v>0</v>
      </c>
      <c r="Q938" s="6">
        <v>0</v>
      </c>
      <c r="S938" s="6">
        <v>82</v>
      </c>
      <c r="T938" s="6">
        <f>IF(S938="",MEDIAN($S$2:$S$1409),S938)</f>
        <v>82</v>
      </c>
    </row>
    <row r="939" spans="1:20" ht="15" customHeight="1">
      <c r="A939" s="6" t="s">
        <v>974</v>
      </c>
      <c r="B939" s="7">
        <v>45765</v>
      </c>
      <c r="C939" s="6" t="s">
        <v>727</v>
      </c>
      <c r="D939" s="6" t="s">
        <v>32</v>
      </c>
      <c r="E939" s="6" t="s">
        <v>28</v>
      </c>
      <c r="F939" s="6" t="str">
        <f>IF(E939="","Unknown",E939)</f>
        <v>Mobile</v>
      </c>
      <c r="G939" s="6" t="s">
        <v>33</v>
      </c>
      <c r="H939" s="6" t="str">
        <f>IF(G939="","Unknown",G939)</f>
        <v>Paid Search</v>
      </c>
      <c r="I939" s="6" t="s">
        <v>30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>
        <f>IF(O939&gt;0,1,0)</f>
        <v>0</v>
      </c>
      <c r="Q939" s="6">
        <v>0</v>
      </c>
      <c r="S939" s="6">
        <v>72.099999999999994</v>
      </c>
      <c r="T939" s="6">
        <f>IF(S939="",MEDIAN($S$2:$S$1409),S939)</f>
        <v>72.099999999999994</v>
      </c>
    </row>
    <row r="940" spans="1:20" ht="15" customHeight="1">
      <c r="A940" s="6" t="s">
        <v>975</v>
      </c>
      <c r="B940" s="7">
        <v>45686</v>
      </c>
      <c r="C940" s="6" t="s">
        <v>727</v>
      </c>
      <c r="D940" s="6" t="s">
        <v>22</v>
      </c>
      <c r="E940" s="6" t="s">
        <v>23</v>
      </c>
      <c r="F940" s="6" t="str">
        <f>IF(E940="","Unknown",E940)</f>
        <v>Desktop</v>
      </c>
      <c r="G940" s="6" t="s">
        <v>24</v>
      </c>
      <c r="H940" s="6" t="str">
        <f>IF(G940="","Unknown",G940)</f>
        <v>Email</v>
      </c>
      <c r="I940" s="6" t="s">
        <v>34</v>
      </c>
      <c r="J940" s="6">
        <v>1</v>
      </c>
      <c r="K940" s="6">
        <v>1</v>
      </c>
      <c r="L940" s="6">
        <v>0</v>
      </c>
      <c r="M940" s="6">
        <v>0</v>
      </c>
      <c r="N940" s="6">
        <v>0</v>
      </c>
      <c r="O940" s="6">
        <v>0</v>
      </c>
      <c r="P940" s="6">
        <f>IF(O940&gt;0,1,0)</f>
        <v>0</v>
      </c>
      <c r="Q940" s="6">
        <v>0</v>
      </c>
      <c r="S940" s="6">
        <v>68.3</v>
      </c>
      <c r="T940" s="6">
        <f>IF(S940="",MEDIAN($S$2:$S$1409),S940)</f>
        <v>68.3</v>
      </c>
    </row>
    <row r="941" spans="1:20" ht="15" customHeight="1">
      <c r="A941" s="6" t="s">
        <v>976</v>
      </c>
      <c r="B941" s="7">
        <v>45805</v>
      </c>
      <c r="C941" s="6" t="s">
        <v>727</v>
      </c>
      <c r="D941" s="6" t="s">
        <v>27</v>
      </c>
      <c r="E941" s="6" t="s">
        <v>28</v>
      </c>
      <c r="F941" s="6" t="str">
        <f>IF(E941="","Unknown",E941)</f>
        <v>Mobile</v>
      </c>
      <c r="G941" s="6" t="s">
        <v>29</v>
      </c>
      <c r="H941" s="6" t="str">
        <f>IF(G941="","Unknown",G941)</f>
        <v>Organic</v>
      </c>
      <c r="I941" s="6" t="s">
        <v>34</v>
      </c>
      <c r="J941" s="6">
        <v>0</v>
      </c>
      <c r="K941" s="6">
        <v>0</v>
      </c>
      <c r="L941" s="6">
        <v>0</v>
      </c>
      <c r="M941" s="6">
        <v>0</v>
      </c>
      <c r="N941" s="6">
        <v>0</v>
      </c>
      <c r="O941" s="6">
        <v>0</v>
      </c>
      <c r="P941" s="6">
        <f>IF(O941&gt;0,1,0)</f>
        <v>0</v>
      </c>
      <c r="Q941" s="6">
        <v>0</v>
      </c>
      <c r="S941" s="6">
        <v>100</v>
      </c>
      <c r="T941" s="6">
        <f>IF(S941="",MEDIAN($S$2:$S$1409),S941)</f>
        <v>100</v>
      </c>
    </row>
    <row r="942" spans="1:20" ht="15" customHeight="1">
      <c r="A942" s="6" t="s">
        <v>977</v>
      </c>
      <c r="B942" s="7">
        <v>45672</v>
      </c>
      <c r="C942" s="6" t="s">
        <v>727</v>
      </c>
      <c r="D942" s="6" t="s">
        <v>32</v>
      </c>
      <c r="E942" s="6" t="s">
        <v>28</v>
      </c>
      <c r="F942" s="6" t="str">
        <f>IF(E942="","Unknown",E942)</f>
        <v>Mobile</v>
      </c>
      <c r="G942" s="6" t="s">
        <v>24</v>
      </c>
      <c r="H942" s="6" t="str">
        <f>IF(G942="","Unknown",G942)</f>
        <v>Email</v>
      </c>
      <c r="I942" s="6" t="s">
        <v>30</v>
      </c>
      <c r="J942" s="6">
        <v>1</v>
      </c>
      <c r="K942" s="6">
        <v>1</v>
      </c>
      <c r="L942" s="6">
        <v>1</v>
      </c>
      <c r="M942" s="6">
        <v>0</v>
      </c>
      <c r="N942" s="6">
        <v>0</v>
      </c>
      <c r="O942" s="6">
        <v>2</v>
      </c>
      <c r="P942" s="6">
        <f>IF(O942&gt;0,1,0)</f>
        <v>1</v>
      </c>
      <c r="Q942" s="6">
        <v>0</v>
      </c>
      <c r="S942" s="6">
        <v>76.5</v>
      </c>
      <c r="T942" s="6">
        <f>IF(S942="",MEDIAN($S$2:$S$1409),S942)</f>
        <v>76.5</v>
      </c>
    </row>
    <row r="943" spans="1:20" ht="15" customHeight="1">
      <c r="A943" s="6" t="s">
        <v>978</v>
      </c>
      <c r="B943" s="7">
        <v>45660</v>
      </c>
      <c r="C943" s="6" t="s">
        <v>727</v>
      </c>
      <c r="D943" s="6" t="s">
        <v>36</v>
      </c>
      <c r="E943" s="6" t="s">
        <v>28</v>
      </c>
      <c r="F943" s="6" t="str">
        <f>IF(E943="","Unknown",E943)</f>
        <v>Mobile</v>
      </c>
      <c r="G943" s="6" t="s">
        <v>29</v>
      </c>
      <c r="H943" s="6" t="str">
        <f>IF(G943="","Unknown",G943)</f>
        <v>Organic</v>
      </c>
      <c r="I943" s="6" t="s">
        <v>25</v>
      </c>
      <c r="J943" s="6">
        <v>1</v>
      </c>
      <c r="K943" s="6">
        <v>1</v>
      </c>
      <c r="L943" s="6">
        <v>0</v>
      </c>
      <c r="M943" s="6">
        <v>0</v>
      </c>
      <c r="N943" s="6">
        <v>0</v>
      </c>
      <c r="O943" s="6">
        <v>0</v>
      </c>
      <c r="P943" s="6">
        <f>IF(O943&gt;0,1,0)</f>
        <v>0</v>
      </c>
      <c r="Q943" s="6">
        <v>0</v>
      </c>
      <c r="S943" s="6">
        <v>62</v>
      </c>
      <c r="T943" s="6">
        <f>IF(S943="",MEDIAN($S$2:$S$1409),S943)</f>
        <v>62</v>
      </c>
    </row>
    <row r="944" spans="1:20" ht="15" customHeight="1">
      <c r="A944" s="6" t="s">
        <v>979</v>
      </c>
      <c r="B944" s="7">
        <v>45692</v>
      </c>
      <c r="C944" s="6" t="s">
        <v>727</v>
      </c>
      <c r="D944" s="6" t="s">
        <v>36</v>
      </c>
      <c r="E944" s="6" t="s">
        <v>28</v>
      </c>
      <c r="F944" s="6" t="str">
        <f>IF(E944="","Unknown",E944)</f>
        <v>Mobile</v>
      </c>
      <c r="G944" s="6" t="s">
        <v>33</v>
      </c>
      <c r="H944" s="6" t="str">
        <f>IF(G944="","Unknown",G944)</f>
        <v>Paid Search</v>
      </c>
      <c r="I944" s="6" t="s">
        <v>30</v>
      </c>
      <c r="J944" s="6">
        <v>1</v>
      </c>
      <c r="K944" s="6">
        <v>1</v>
      </c>
      <c r="L944" s="6">
        <v>1</v>
      </c>
      <c r="M944" s="6">
        <v>1</v>
      </c>
      <c r="N944" s="6">
        <v>324.68</v>
      </c>
      <c r="O944" s="6">
        <v>1</v>
      </c>
      <c r="P944" s="6">
        <f>IF(O944&gt;0,1,0)</f>
        <v>1</v>
      </c>
      <c r="Q944" s="6">
        <v>0</v>
      </c>
      <c r="R944" s="6">
        <v>7</v>
      </c>
      <c r="S944" s="6">
        <v>50.1</v>
      </c>
      <c r="T944" s="6">
        <f>IF(S944="",MEDIAN($S$2:$S$1409),S944)</f>
        <v>50.1</v>
      </c>
    </row>
    <row r="945" spans="1:20" ht="15" customHeight="1">
      <c r="A945" s="6" t="s">
        <v>980</v>
      </c>
      <c r="B945" s="7">
        <v>45710</v>
      </c>
      <c r="C945" s="6" t="s">
        <v>727</v>
      </c>
      <c r="D945" s="6" t="s">
        <v>36</v>
      </c>
      <c r="E945" s="6" t="s">
        <v>28</v>
      </c>
      <c r="F945" s="6" t="str">
        <f>IF(E945="","Unknown",E945)</f>
        <v>Mobile</v>
      </c>
      <c r="G945" s="6" t="s">
        <v>43</v>
      </c>
      <c r="H945" s="6" t="str">
        <f>IF(G945="","Unknown",G945)</f>
        <v>Referral</v>
      </c>
      <c r="I945" s="6" t="s">
        <v>34</v>
      </c>
      <c r="J945" s="6">
        <v>1</v>
      </c>
      <c r="K945" s="6">
        <v>0</v>
      </c>
      <c r="L945" s="6">
        <v>0</v>
      </c>
      <c r="M945" s="6">
        <v>0</v>
      </c>
      <c r="N945" s="6">
        <v>0</v>
      </c>
      <c r="O945" s="6">
        <v>0</v>
      </c>
      <c r="P945" s="6">
        <f>IF(O945&gt;0,1,0)</f>
        <v>0</v>
      </c>
      <c r="Q945" s="6">
        <v>0</v>
      </c>
      <c r="S945" s="6">
        <v>62.1</v>
      </c>
      <c r="T945" s="6">
        <f>IF(S945="",MEDIAN($S$2:$S$1409),S945)</f>
        <v>62.1</v>
      </c>
    </row>
    <row r="946" spans="1:20" ht="15" customHeight="1">
      <c r="A946" s="6" t="s">
        <v>981</v>
      </c>
      <c r="B946" s="7">
        <v>45783</v>
      </c>
      <c r="C946" s="6" t="s">
        <v>727</v>
      </c>
      <c r="D946" s="6" t="s">
        <v>27</v>
      </c>
      <c r="E946" s="6" t="s">
        <v>28</v>
      </c>
      <c r="F946" s="6" t="str">
        <f>IF(E946="","Unknown",E946)</f>
        <v>Mobile</v>
      </c>
      <c r="G946" s="6" t="s">
        <v>29</v>
      </c>
      <c r="H946" s="6" t="str">
        <f>IF(G946="","Unknown",G946)</f>
        <v>Organic</v>
      </c>
      <c r="I946" s="6" t="s">
        <v>25</v>
      </c>
      <c r="J946" s="6">
        <v>1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>
        <f>IF(O946&gt;0,1,0)</f>
        <v>0</v>
      </c>
      <c r="Q946" s="6">
        <v>0</v>
      </c>
      <c r="S946" s="6">
        <v>49.7</v>
      </c>
      <c r="T946" s="6">
        <f>IF(S946="",MEDIAN($S$2:$S$1409),S946)</f>
        <v>49.7</v>
      </c>
    </row>
    <row r="947" spans="1:20" ht="15" customHeight="1">
      <c r="A947" s="6" t="s">
        <v>982</v>
      </c>
      <c r="B947" s="7">
        <v>45688</v>
      </c>
      <c r="C947" s="6" t="s">
        <v>727</v>
      </c>
      <c r="D947" s="6" t="s">
        <v>36</v>
      </c>
      <c r="E947" s="6" t="s">
        <v>28</v>
      </c>
      <c r="F947" s="6" t="str">
        <f>IF(E947="","Unknown",E947)</f>
        <v>Mobile</v>
      </c>
      <c r="G947" s="6" t="s">
        <v>29</v>
      </c>
      <c r="H947" s="6" t="str">
        <f>IF(G947="","Unknown",G947)</f>
        <v>Organic</v>
      </c>
      <c r="I947" s="6" t="s">
        <v>30</v>
      </c>
      <c r="J947" s="6">
        <v>1</v>
      </c>
      <c r="K947" s="6">
        <v>0</v>
      </c>
      <c r="L947" s="6">
        <v>0</v>
      </c>
      <c r="M947" s="6">
        <v>0</v>
      </c>
      <c r="N947" s="6">
        <v>0</v>
      </c>
      <c r="O947" s="6">
        <v>3</v>
      </c>
      <c r="P947" s="6">
        <f>IF(O947&gt;0,1,0)</f>
        <v>1</v>
      </c>
      <c r="Q947" s="6">
        <v>0</v>
      </c>
      <c r="S947" s="6">
        <v>71.099999999999994</v>
      </c>
      <c r="T947" s="6">
        <f>IF(S947="",MEDIAN($S$2:$S$1409),S947)</f>
        <v>71.099999999999994</v>
      </c>
    </row>
    <row r="948" spans="1:20" ht="15" customHeight="1">
      <c r="A948" s="6" t="s">
        <v>983</v>
      </c>
      <c r="B948" s="7">
        <v>45706</v>
      </c>
      <c r="C948" s="6" t="s">
        <v>727</v>
      </c>
      <c r="D948" s="6" t="s">
        <v>22</v>
      </c>
      <c r="E948" s="6" t="s">
        <v>28</v>
      </c>
      <c r="F948" s="6" t="str">
        <f>IF(E948="","Unknown",E948)</f>
        <v>Mobile</v>
      </c>
      <c r="G948" s="6" t="s">
        <v>45</v>
      </c>
      <c r="H948" s="6" t="str">
        <f>IF(G948="","Unknown",G948)</f>
        <v>Social</v>
      </c>
      <c r="I948" s="6" t="s">
        <v>25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f>IF(O948&gt;0,1,0)</f>
        <v>0</v>
      </c>
      <c r="Q948" s="6">
        <v>0</v>
      </c>
      <c r="S948" s="6">
        <v>70.8</v>
      </c>
      <c r="T948" s="6">
        <f>IF(S948="",MEDIAN($S$2:$S$1409),S948)</f>
        <v>70.8</v>
      </c>
    </row>
    <row r="949" spans="1:20" ht="15" customHeight="1">
      <c r="A949" s="6" t="s">
        <v>984</v>
      </c>
      <c r="B949" s="7">
        <v>45770</v>
      </c>
      <c r="C949" s="6" t="s">
        <v>727</v>
      </c>
      <c r="D949" s="6" t="s">
        <v>32</v>
      </c>
      <c r="E949" s="6" t="s">
        <v>28</v>
      </c>
      <c r="F949" s="6" t="str">
        <f>IF(E949="","Unknown",E949)</f>
        <v>Mobile</v>
      </c>
      <c r="G949" s="6" t="s">
        <v>33</v>
      </c>
      <c r="H949" s="6" t="str">
        <f>IF(G949="","Unknown",G949)</f>
        <v>Paid Search</v>
      </c>
      <c r="I949" s="6" t="s">
        <v>30</v>
      </c>
      <c r="J949" s="6">
        <v>1</v>
      </c>
      <c r="K949" s="6">
        <v>1</v>
      </c>
      <c r="L949" s="6">
        <v>1</v>
      </c>
      <c r="M949" s="6">
        <v>1</v>
      </c>
      <c r="N949" s="6">
        <v>301.98</v>
      </c>
      <c r="O949" s="6">
        <v>0</v>
      </c>
      <c r="P949" s="6">
        <f>IF(O949&gt;0,1,0)</f>
        <v>0</v>
      </c>
      <c r="Q949" s="6">
        <v>0</v>
      </c>
      <c r="R949" s="6">
        <v>10</v>
      </c>
      <c r="S949" s="6">
        <v>52.2</v>
      </c>
      <c r="T949" s="6">
        <f>IF(S949="",MEDIAN($S$2:$S$1409),S949)</f>
        <v>52.2</v>
      </c>
    </row>
    <row r="950" spans="1:20" ht="15" customHeight="1">
      <c r="A950" s="6" t="s">
        <v>985</v>
      </c>
      <c r="B950" s="7">
        <v>45694</v>
      </c>
      <c r="C950" s="6" t="s">
        <v>727</v>
      </c>
      <c r="D950" s="6" t="s">
        <v>22</v>
      </c>
      <c r="E950" s="6" t="s">
        <v>28</v>
      </c>
      <c r="F950" s="6" t="str">
        <f>IF(E950="","Unknown",E950)</f>
        <v>Mobile</v>
      </c>
      <c r="G950" s="6" t="s">
        <v>29</v>
      </c>
      <c r="H950" s="6" t="str">
        <f>IF(G950="","Unknown",G950)</f>
        <v>Organic</v>
      </c>
      <c r="I950" s="6" t="s">
        <v>30</v>
      </c>
      <c r="J950" s="6">
        <v>1</v>
      </c>
      <c r="K950" s="6">
        <v>1</v>
      </c>
      <c r="L950" s="6">
        <v>1</v>
      </c>
      <c r="M950" s="6">
        <v>0</v>
      </c>
      <c r="N950" s="6">
        <v>0</v>
      </c>
      <c r="O950" s="6">
        <v>0</v>
      </c>
      <c r="P950" s="6">
        <f>IF(O950&gt;0,1,0)</f>
        <v>0</v>
      </c>
      <c r="Q950" s="6">
        <v>0</v>
      </c>
      <c r="S950" s="6">
        <v>73</v>
      </c>
      <c r="T950" s="6">
        <f>IF(S950="",MEDIAN($S$2:$S$1409),S950)</f>
        <v>73</v>
      </c>
    </row>
    <row r="951" spans="1:20" ht="15" customHeight="1">
      <c r="A951" s="6" t="s">
        <v>986</v>
      </c>
      <c r="B951" s="7">
        <v>45773</v>
      </c>
      <c r="C951" s="6" t="s">
        <v>727</v>
      </c>
      <c r="D951" s="6" t="s">
        <v>36</v>
      </c>
      <c r="E951" s="6" t="s">
        <v>23</v>
      </c>
      <c r="F951" s="6" t="str">
        <f>IF(E951="","Unknown",E951)</f>
        <v>Desktop</v>
      </c>
      <c r="G951" s="6" t="s">
        <v>33</v>
      </c>
      <c r="H951" s="6" t="str">
        <f>IF(G951="","Unknown",G951)</f>
        <v>Paid Search</v>
      </c>
      <c r="I951" s="6" t="s">
        <v>30</v>
      </c>
      <c r="J951" s="6">
        <v>0</v>
      </c>
      <c r="K951" s="6">
        <v>0</v>
      </c>
      <c r="L951" s="6">
        <v>0</v>
      </c>
      <c r="M951" s="6">
        <v>0</v>
      </c>
      <c r="N951" s="6">
        <v>0</v>
      </c>
      <c r="O951" s="6">
        <v>0</v>
      </c>
      <c r="P951" s="6">
        <f>IF(O951&gt;0,1,0)</f>
        <v>0</v>
      </c>
      <c r="Q951" s="6">
        <v>0</v>
      </c>
      <c r="S951" s="6">
        <v>78.2</v>
      </c>
      <c r="T951" s="6">
        <f>IF(S951="",MEDIAN($S$2:$S$1409),S951)</f>
        <v>78.2</v>
      </c>
    </row>
    <row r="952" spans="1:20" ht="15" customHeight="1">
      <c r="A952" s="6" t="s">
        <v>987</v>
      </c>
      <c r="B952" s="7">
        <v>45746</v>
      </c>
      <c r="C952" s="6" t="s">
        <v>727</v>
      </c>
      <c r="D952" s="6" t="s">
        <v>27</v>
      </c>
      <c r="E952" s="6" t="s">
        <v>23</v>
      </c>
      <c r="F952" s="6" t="str">
        <f>IF(E952="","Unknown",E952)</f>
        <v>Desktop</v>
      </c>
      <c r="G952" s="6" t="s">
        <v>33</v>
      </c>
      <c r="H952" s="6" t="str">
        <f>IF(G952="","Unknown",G952)</f>
        <v>Paid Search</v>
      </c>
      <c r="I952" s="6" t="s">
        <v>25</v>
      </c>
      <c r="J952" s="6">
        <v>1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>
        <f>IF(O952&gt;0,1,0)</f>
        <v>0</v>
      </c>
      <c r="Q952" s="6">
        <v>0</v>
      </c>
      <c r="S952" s="6">
        <v>68.8</v>
      </c>
      <c r="T952" s="6">
        <f>IF(S952="",MEDIAN($S$2:$S$1409),S952)</f>
        <v>68.8</v>
      </c>
    </row>
    <row r="953" spans="1:20" ht="15" customHeight="1">
      <c r="A953" s="6" t="s">
        <v>988</v>
      </c>
      <c r="B953" s="7">
        <v>45760</v>
      </c>
      <c r="C953" s="6" t="s">
        <v>727</v>
      </c>
      <c r="D953" s="6" t="s">
        <v>27</v>
      </c>
      <c r="E953" s="6" t="s">
        <v>28</v>
      </c>
      <c r="F953" s="6" t="str">
        <f>IF(E953="","Unknown",E953)</f>
        <v>Mobile</v>
      </c>
      <c r="G953" s="6"/>
      <c r="H953" s="6" t="str">
        <f>IF(G953="","Unknown",G953)</f>
        <v>Unknown</v>
      </c>
      <c r="I953" s="6" t="s">
        <v>34</v>
      </c>
      <c r="J953" s="6">
        <v>1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>
        <f>IF(O953&gt;0,1,0)</f>
        <v>0</v>
      </c>
      <c r="Q953" s="6">
        <v>0</v>
      </c>
      <c r="S953" s="6">
        <v>57.1</v>
      </c>
      <c r="T953" s="6">
        <f>IF(S953="",MEDIAN($S$2:$S$1409),S953)</f>
        <v>57.1</v>
      </c>
    </row>
    <row r="954" spans="1:20" ht="15" customHeight="1">
      <c r="A954" s="6" t="s">
        <v>989</v>
      </c>
      <c r="B954" s="7">
        <v>45751</v>
      </c>
      <c r="C954" s="6" t="s">
        <v>727</v>
      </c>
      <c r="D954" s="6" t="s">
        <v>32</v>
      </c>
      <c r="E954" s="6" t="s">
        <v>23</v>
      </c>
      <c r="F954" s="6" t="str">
        <f>IF(E954="","Unknown",E954)</f>
        <v>Desktop</v>
      </c>
      <c r="G954" s="6" t="s">
        <v>29</v>
      </c>
      <c r="H954" s="6" t="str">
        <f>IF(G954="","Unknown",G954)</f>
        <v>Organic</v>
      </c>
      <c r="I954" s="6" t="s">
        <v>34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1</v>
      </c>
      <c r="P954" s="6">
        <f>IF(O954&gt;0,1,0)</f>
        <v>1</v>
      </c>
      <c r="Q954" s="6">
        <v>0</v>
      </c>
      <c r="S954" s="6">
        <v>74.599999999999994</v>
      </c>
      <c r="T954" s="6">
        <f>IF(S954="",MEDIAN($S$2:$S$1409),S954)</f>
        <v>74.599999999999994</v>
      </c>
    </row>
    <row r="955" spans="1:20" ht="15" customHeight="1">
      <c r="A955" s="6" t="s">
        <v>990</v>
      </c>
      <c r="B955" s="7">
        <v>45750</v>
      </c>
      <c r="C955" s="6" t="s">
        <v>727</v>
      </c>
      <c r="D955" s="6" t="s">
        <v>22</v>
      </c>
      <c r="E955" s="6" t="s">
        <v>23</v>
      </c>
      <c r="F955" s="6" t="str">
        <f>IF(E955="","Unknown",E955)</f>
        <v>Desktop</v>
      </c>
      <c r="G955" s="6" t="s">
        <v>43</v>
      </c>
      <c r="H955" s="6" t="str">
        <f>IF(G955="","Unknown",G955)</f>
        <v>Referral</v>
      </c>
      <c r="I955" s="6" t="s">
        <v>30</v>
      </c>
      <c r="J955" s="6">
        <v>1</v>
      </c>
      <c r="K955" s="6">
        <v>0</v>
      </c>
      <c r="L955" s="6">
        <v>0</v>
      </c>
      <c r="M955" s="6">
        <v>0</v>
      </c>
      <c r="N955" s="6">
        <v>0</v>
      </c>
      <c r="O955" s="6">
        <v>1</v>
      </c>
      <c r="P955" s="6">
        <f>IF(O955&gt;0,1,0)</f>
        <v>1</v>
      </c>
      <c r="Q955" s="6">
        <v>0</v>
      </c>
      <c r="S955" s="6">
        <v>64.099999999999994</v>
      </c>
      <c r="T955" s="6">
        <f>IF(S955="",MEDIAN($S$2:$S$1409),S955)</f>
        <v>64.099999999999994</v>
      </c>
    </row>
    <row r="956" spans="1:20" ht="15" customHeight="1">
      <c r="A956" s="6" t="s">
        <v>991</v>
      </c>
      <c r="B956" s="7">
        <v>45730</v>
      </c>
      <c r="C956" s="6" t="s">
        <v>727</v>
      </c>
      <c r="D956" s="6" t="s">
        <v>27</v>
      </c>
      <c r="E956" s="6" t="s">
        <v>28</v>
      </c>
      <c r="F956" s="6" t="str">
        <f>IF(E956="","Unknown",E956)</f>
        <v>Mobile</v>
      </c>
      <c r="G956" s="6" t="s">
        <v>33</v>
      </c>
      <c r="H956" s="6" t="str">
        <f>IF(G956="","Unknown",G956)</f>
        <v>Paid Search</v>
      </c>
      <c r="I956" s="6" t="s">
        <v>34</v>
      </c>
      <c r="J956" s="6">
        <v>1</v>
      </c>
      <c r="K956" s="6">
        <v>0</v>
      </c>
      <c r="L956" s="6">
        <v>0</v>
      </c>
      <c r="M956" s="6">
        <v>0</v>
      </c>
      <c r="N956" s="6">
        <v>0</v>
      </c>
      <c r="O956" s="6">
        <v>0</v>
      </c>
      <c r="P956" s="6">
        <f>IF(O956&gt;0,1,0)</f>
        <v>0</v>
      </c>
      <c r="Q956" s="6">
        <v>0</v>
      </c>
      <c r="S956" s="6">
        <v>67.3</v>
      </c>
      <c r="T956" s="6">
        <f>IF(S956="",MEDIAN($S$2:$S$1409),S956)</f>
        <v>67.3</v>
      </c>
    </row>
    <row r="957" spans="1:20" ht="15" customHeight="1">
      <c r="A957" s="6" t="s">
        <v>992</v>
      </c>
      <c r="B957" s="7">
        <v>45671</v>
      </c>
      <c r="C957" s="6" t="s">
        <v>727</v>
      </c>
      <c r="D957" s="6" t="s">
        <v>27</v>
      </c>
      <c r="E957" s="6" t="s">
        <v>28</v>
      </c>
      <c r="F957" s="6" t="str">
        <f>IF(E957="","Unknown",E957)</f>
        <v>Mobile</v>
      </c>
      <c r="G957" s="6" t="s">
        <v>43</v>
      </c>
      <c r="H957" s="6" t="str">
        <f>IF(G957="","Unknown",G957)</f>
        <v>Referral</v>
      </c>
      <c r="I957" s="6" t="s">
        <v>30</v>
      </c>
      <c r="J957" s="6">
        <v>0</v>
      </c>
      <c r="K957" s="6">
        <v>0</v>
      </c>
      <c r="L957" s="6">
        <v>0</v>
      </c>
      <c r="M957" s="6">
        <v>0</v>
      </c>
      <c r="N957" s="6">
        <v>0</v>
      </c>
      <c r="O957" s="6">
        <v>2</v>
      </c>
      <c r="P957" s="6">
        <f>IF(O957&gt;0,1,0)</f>
        <v>1</v>
      </c>
      <c r="Q957" s="6">
        <v>0</v>
      </c>
      <c r="S957" s="6">
        <v>41</v>
      </c>
      <c r="T957" s="6">
        <f>IF(S957="",MEDIAN($S$2:$S$1409),S957)</f>
        <v>41</v>
      </c>
    </row>
    <row r="958" spans="1:20" ht="15" customHeight="1">
      <c r="A958" s="6" t="s">
        <v>993</v>
      </c>
      <c r="B958" s="7">
        <v>45782</v>
      </c>
      <c r="C958" s="6" t="s">
        <v>727</v>
      </c>
      <c r="D958" s="6" t="s">
        <v>27</v>
      </c>
      <c r="E958" s="6" t="s">
        <v>28</v>
      </c>
      <c r="F958" s="6" t="str">
        <f>IF(E958="","Unknown",E958)</f>
        <v>Mobile</v>
      </c>
      <c r="G958" s="6" t="s">
        <v>33</v>
      </c>
      <c r="H958" s="6" t="str">
        <f>IF(G958="","Unknown",G958)</f>
        <v>Paid Search</v>
      </c>
      <c r="I958" s="6" t="s">
        <v>30</v>
      </c>
      <c r="J958" s="6">
        <v>0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  <c r="P958" s="6">
        <f>IF(O958&gt;0,1,0)</f>
        <v>0</v>
      </c>
      <c r="Q958" s="6">
        <v>0</v>
      </c>
      <c r="S958" s="6">
        <v>48.1</v>
      </c>
      <c r="T958" s="6">
        <f>IF(S958="",MEDIAN($S$2:$S$1409),S958)</f>
        <v>48.1</v>
      </c>
    </row>
    <row r="959" spans="1:20" ht="15" customHeight="1">
      <c r="A959" s="6" t="s">
        <v>994</v>
      </c>
      <c r="B959" s="7">
        <v>45779</v>
      </c>
      <c r="C959" s="6" t="s">
        <v>727</v>
      </c>
      <c r="D959" s="6" t="s">
        <v>27</v>
      </c>
      <c r="E959" s="6" t="s">
        <v>23</v>
      </c>
      <c r="F959" s="6" t="str">
        <f>IF(E959="","Unknown",E959)</f>
        <v>Desktop</v>
      </c>
      <c r="G959" s="6" t="s">
        <v>45</v>
      </c>
      <c r="H959" s="6" t="str">
        <f>IF(G959="","Unknown",G959)</f>
        <v>Social</v>
      </c>
      <c r="I959" s="6" t="s">
        <v>30</v>
      </c>
      <c r="J959" s="6">
        <v>0</v>
      </c>
      <c r="K959" s="6">
        <v>0</v>
      </c>
      <c r="L959" s="6">
        <v>0</v>
      </c>
      <c r="M959" s="6">
        <v>0</v>
      </c>
      <c r="N959" s="6">
        <v>0</v>
      </c>
      <c r="O959" s="6">
        <v>1</v>
      </c>
      <c r="P959" s="6">
        <f>IF(O959&gt;0,1,0)</f>
        <v>1</v>
      </c>
      <c r="Q959" s="6">
        <v>0</v>
      </c>
      <c r="S959" s="6">
        <v>60.8</v>
      </c>
      <c r="T959" s="6">
        <f>IF(S959="",MEDIAN($S$2:$S$1409),S959)</f>
        <v>60.8</v>
      </c>
    </row>
    <row r="960" spans="1:20" ht="15" customHeight="1">
      <c r="A960" s="6" t="s">
        <v>995</v>
      </c>
      <c r="B960" s="7">
        <v>45798</v>
      </c>
      <c r="C960" s="6" t="s">
        <v>727</v>
      </c>
      <c r="D960" s="6" t="s">
        <v>32</v>
      </c>
      <c r="E960" s="6" t="s">
        <v>28</v>
      </c>
      <c r="F960" s="6" t="str">
        <f>IF(E960="","Unknown",E960)</f>
        <v>Mobile</v>
      </c>
      <c r="G960" s="6" t="s">
        <v>29</v>
      </c>
      <c r="H960" s="6" t="str">
        <f>IF(G960="","Unknown",G960)</f>
        <v>Organic</v>
      </c>
      <c r="I960" s="6" t="s">
        <v>30</v>
      </c>
      <c r="J960" s="6">
        <v>1</v>
      </c>
      <c r="K960" s="6">
        <v>0</v>
      </c>
      <c r="L960" s="6">
        <v>0</v>
      </c>
      <c r="M960" s="6">
        <v>0</v>
      </c>
      <c r="N960" s="6">
        <v>0</v>
      </c>
      <c r="O960" s="6">
        <v>0</v>
      </c>
      <c r="P960" s="6">
        <f>IF(O960&gt;0,1,0)</f>
        <v>0</v>
      </c>
      <c r="Q960" s="6">
        <v>0</v>
      </c>
      <c r="S960" s="6">
        <v>63.1</v>
      </c>
      <c r="T960" s="6">
        <f>IF(S960="",MEDIAN($S$2:$S$1409),S960)</f>
        <v>63.1</v>
      </c>
    </row>
    <row r="961" spans="1:20" ht="15" customHeight="1">
      <c r="A961" s="6" t="s">
        <v>996</v>
      </c>
      <c r="B961" s="7">
        <v>45793</v>
      </c>
      <c r="C961" s="6" t="s">
        <v>727</v>
      </c>
      <c r="D961" s="6" t="s">
        <v>22</v>
      </c>
      <c r="E961" s="6" t="s">
        <v>28</v>
      </c>
      <c r="F961" s="6" t="str">
        <f>IF(E961="","Unknown",E961)</f>
        <v>Mobile</v>
      </c>
      <c r="G961" s="6" t="s">
        <v>43</v>
      </c>
      <c r="H961" s="6" t="str">
        <f>IF(G961="","Unknown",G961)</f>
        <v>Referral</v>
      </c>
      <c r="I961" s="6" t="s">
        <v>34</v>
      </c>
      <c r="J961" s="6">
        <v>1</v>
      </c>
      <c r="K961" s="6">
        <v>0</v>
      </c>
      <c r="L961" s="6">
        <v>0</v>
      </c>
      <c r="M961" s="6">
        <v>0</v>
      </c>
      <c r="N961" s="6">
        <v>0</v>
      </c>
      <c r="O961" s="6">
        <v>2</v>
      </c>
      <c r="P961" s="6">
        <f>IF(O961&gt;0,1,0)</f>
        <v>1</v>
      </c>
      <c r="Q961" s="6">
        <v>0</v>
      </c>
      <c r="S961" s="6">
        <v>49.7</v>
      </c>
      <c r="T961" s="6">
        <f>IF(S961="",MEDIAN($S$2:$S$1409),S961)</f>
        <v>49.7</v>
      </c>
    </row>
    <row r="962" spans="1:20" ht="15" customHeight="1">
      <c r="A962" s="6" t="s">
        <v>997</v>
      </c>
      <c r="B962" s="7">
        <v>45801</v>
      </c>
      <c r="C962" s="6" t="s">
        <v>727</v>
      </c>
      <c r="D962" s="6" t="s">
        <v>32</v>
      </c>
      <c r="E962" s="6" t="s">
        <v>23</v>
      </c>
      <c r="F962" s="6" t="str">
        <f>IF(E962="","Unknown",E962)</f>
        <v>Desktop</v>
      </c>
      <c r="G962" s="6" t="s">
        <v>29</v>
      </c>
      <c r="H962" s="6" t="str">
        <f>IF(G962="","Unknown",G962)</f>
        <v>Organic</v>
      </c>
      <c r="I962" s="6" t="s">
        <v>34</v>
      </c>
      <c r="J962" s="6">
        <v>1</v>
      </c>
      <c r="K962" s="6">
        <v>1</v>
      </c>
      <c r="L962" s="6">
        <v>1</v>
      </c>
      <c r="M962" s="6">
        <v>0</v>
      </c>
      <c r="N962" s="6">
        <v>0</v>
      </c>
      <c r="O962" s="6">
        <v>1</v>
      </c>
      <c r="P962" s="6">
        <f>IF(O962&gt;0,1,0)</f>
        <v>1</v>
      </c>
      <c r="Q962" s="6">
        <v>0</v>
      </c>
      <c r="S962" s="6">
        <v>83.4</v>
      </c>
      <c r="T962" s="6">
        <f>IF(S962="",MEDIAN($S$2:$S$1409),S962)</f>
        <v>83.4</v>
      </c>
    </row>
    <row r="963" spans="1:20" ht="15" customHeight="1">
      <c r="A963" s="6" t="s">
        <v>998</v>
      </c>
      <c r="B963" s="7">
        <v>45734</v>
      </c>
      <c r="C963" s="6" t="s">
        <v>727</v>
      </c>
      <c r="D963" s="6" t="s">
        <v>32</v>
      </c>
      <c r="E963" s="6" t="s">
        <v>28</v>
      </c>
      <c r="F963" s="6" t="str">
        <f>IF(E963="","Unknown",E963)</f>
        <v>Mobile</v>
      </c>
      <c r="G963" s="6" t="s">
        <v>29</v>
      </c>
      <c r="H963" s="6" t="str">
        <f>IF(G963="","Unknown",G963)</f>
        <v>Organic</v>
      </c>
      <c r="I963" s="6" t="s">
        <v>25</v>
      </c>
      <c r="J963" s="6">
        <v>1</v>
      </c>
      <c r="K963" s="6">
        <v>0</v>
      </c>
      <c r="L963" s="6">
        <v>0</v>
      </c>
      <c r="M963" s="6">
        <v>0</v>
      </c>
      <c r="N963" s="6">
        <v>0</v>
      </c>
      <c r="O963" s="6">
        <v>0</v>
      </c>
      <c r="P963" s="6">
        <f>IF(O963&gt;0,1,0)</f>
        <v>0</v>
      </c>
      <c r="Q963" s="6">
        <v>0</v>
      </c>
      <c r="S963" s="6">
        <v>75.900000000000006</v>
      </c>
      <c r="T963" s="6">
        <f>IF(S963="",MEDIAN($S$2:$S$1409),S963)</f>
        <v>75.900000000000006</v>
      </c>
    </row>
    <row r="964" spans="1:20" ht="15" customHeight="1">
      <c r="A964" s="6" t="s">
        <v>999</v>
      </c>
      <c r="B964" s="7">
        <v>45668</v>
      </c>
      <c r="C964" s="6" t="s">
        <v>727</v>
      </c>
      <c r="D964" s="6" t="s">
        <v>32</v>
      </c>
      <c r="E964" s="6" t="s">
        <v>23</v>
      </c>
      <c r="F964" s="6" t="str">
        <f>IF(E964="","Unknown",E964)</f>
        <v>Desktop</v>
      </c>
      <c r="G964" s="6" t="s">
        <v>33</v>
      </c>
      <c r="H964" s="6" t="str">
        <f>IF(G964="","Unknown",G964)</f>
        <v>Paid Search</v>
      </c>
      <c r="I964" s="6" t="s">
        <v>30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1</v>
      </c>
      <c r="P964" s="6">
        <f>IF(O964&gt;0,1,0)</f>
        <v>1</v>
      </c>
      <c r="Q964" s="6">
        <v>0</v>
      </c>
      <c r="S964" s="6">
        <v>71.8</v>
      </c>
      <c r="T964" s="6">
        <f>IF(S964="",MEDIAN($S$2:$S$1409),S964)</f>
        <v>71.8</v>
      </c>
    </row>
    <row r="965" spans="1:20" ht="15" customHeight="1">
      <c r="A965" s="6" t="s">
        <v>1000</v>
      </c>
      <c r="B965" s="7">
        <v>45697</v>
      </c>
      <c r="C965" s="6" t="s">
        <v>727</v>
      </c>
      <c r="D965" s="6" t="s">
        <v>36</v>
      </c>
      <c r="E965" s="6" t="s">
        <v>28</v>
      </c>
      <c r="F965" s="6" t="str">
        <f>IF(E965="","Unknown",E965)</f>
        <v>Mobile</v>
      </c>
      <c r="G965" s="6" t="s">
        <v>29</v>
      </c>
      <c r="H965" s="6" t="str">
        <f>IF(G965="","Unknown",G965)</f>
        <v>Organic</v>
      </c>
      <c r="I965" s="6" t="s">
        <v>25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0</v>
      </c>
      <c r="P965" s="6">
        <f>IF(O965&gt;0,1,0)</f>
        <v>0</v>
      </c>
      <c r="Q965" s="6">
        <v>0</v>
      </c>
      <c r="S965" s="6">
        <v>37.9</v>
      </c>
      <c r="T965" s="6">
        <f>IF(S965="",MEDIAN($S$2:$S$1409),S965)</f>
        <v>37.9</v>
      </c>
    </row>
    <row r="966" spans="1:20" ht="15" customHeight="1">
      <c r="A966" s="6" t="s">
        <v>1001</v>
      </c>
      <c r="B966" s="7">
        <v>45717</v>
      </c>
      <c r="C966" s="6" t="s">
        <v>727</v>
      </c>
      <c r="D966" s="6" t="s">
        <v>22</v>
      </c>
      <c r="E966" s="6" t="s">
        <v>23</v>
      </c>
      <c r="F966" s="6" t="str">
        <f>IF(E966="","Unknown",E966)</f>
        <v>Desktop</v>
      </c>
      <c r="G966" s="6" t="s">
        <v>45</v>
      </c>
      <c r="H966" s="6" t="str">
        <f>IF(G966="","Unknown",G966)</f>
        <v>Social</v>
      </c>
      <c r="I966" s="6" t="s">
        <v>30</v>
      </c>
      <c r="J966" s="6">
        <v>1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>
        <f>IF(O966&gt;0,1,0)</f>
        <v>0</v>
      </c>
      <c r="Q966" s="6">
        <v>0</v>
      </c>
      <c r="S966" s="6">
        <v>59.8</v>
      </c>
      <c r="T966" s="6">
        <f>IF(S966="",MEDIAN($S$2:$S$1409),S966)</f>
        <v>59.8</v>
      </c>
    </row>
    <row r="967" spans="1:20" ht="15" customHeight="1">
      <c r="A967" s="6" t="s">
        <v>1002</v>
      </c>
      <c r="B967" s="7">
        <v>45784</v>
      </c>
      <c r="C967" s="6" t="s">
        <v>727</v>
      </c>
      <c r="D967" s="6" t="s">
        <v>22</v>
      </c>
      <c r="E967" s="6" t="s">
        <v>28</v>
      </c>
      <c r="F967" s="6" t="str">
        <f>IF(E967="","Unknown",E967)</f>
        <v>Mobile</v>
      </c>
      <c r="G967" s="6" t="s">
        <v>29</v>
      </c>
      <c r="H967" s="6" t="str">
        <f>IF(G967="","Unknown",G967)</f>
        <v>Organic</v>
      </c>
      <c r="I967" s="6" t="s">
        <v>25</v>
      </c>
      <c r="J967" s="6">
        <v>0</v>
      </c>
      <c r="K967" s="6">
        <v>0</v>
      </c>
      <c r="L967" s="6">
        <v>0</v>
      </c>
      <c r="M967" s="6">
        <v>0</v>
      </c>
      <c r="N967" s="6">
        <v>0</v>
      </c>
      <c r="O967" s="6">
        <v>0</v>
      </c>
      <c r="P967" s="6">
        <f>IF(O967&gt;0,1,0)</f>
        <v>0</v>
      </c>
      <c r="Q967" s="6">
        <v>0</v>
      </c>
      <c r="S967" s="6">
        <v>66.900000000000006</v>
      </c>
      <c r="T967" s="6">
        <f>IF(S967="",MEDIAN($S$2:$S$1409),S967)</f>
        <v>66.900000000000006</v>
      </c>
    </row>
    <row r="968" spans="1:20" ht="15" customHeight="1">
      <c r="A968" s="6" t="s">
        <v>1003</v>
      </c>
      <c r="B968" s="7">
        <v>45707</v>
      </c>
      <c r="C968" s="6" t="s">
        <v>727</v>
      </c>
      <c r="D968" s="6" t="s">
        <v>36</v>
      </c>
      <c r="E968" s="6" t="s">
        <v>23</v>
      </c>
      <c r="F968" s="6" t="str">
        <f>IF(E968="","Unknown",E968)</f>
        <v>Desktop</v>
      </c>
      <c r="G968" s="6"/>
      <c r="H968" s="6" t="str">
        <f>IF(G968="","Unknown",G968)</f>
        <v>Unknown</v>
      </c>
      <c r="I968" s="6" t="s">
        <v>30</v>
      </c>
      <c r="J968" s="6">
        <v>1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f>IF(O968&gt;0,1,0)</f>
        <v>0</v>
      </c>
      <c r="Q968" s="6">
        <v>0</v>
      </c>
      <c r="S968" s="6">
        <v>59</v>
      </c>
      <c r="T968" s="6">
        <f>IF(S968="",MEDIAN($S$2:$S$1409),S968)</f>
        <v>59</v>
      </c>
    </row>
    <row r="969" spans="1:20" ht="15" customHeight="1">
      <c r="A969" s="6" t="s">
        <v>1004</v>
      </c>
      <c r="B969" s="7">
        <v>45714</v>
      </c>
      <c r="C969" s="6" t="s">
        <v>727</v>
      </c>
      <c r="D969" s="6" t="s">
        <v>27</v>
      </c>
      <c r="E969" s="6" t="s">
        <v>28</v>
      </c>
      <c r="F969" s="6" t="str">
        <f>IF(E969="","Unknown",E969)</f>
        <v>Mobile</v>
      </c>
      <c r="G969" s="6" t="s">
        <v>29</v>
      </c>
      <c r="H969" s="6" t="str">
        <f>IF(G969="","Unknown",G969)</f>
        <v>Organic</v>
      </c>
      <c r="I969" s="6" t="s">
        <v>34</v>
      </c>
      <c r="J969" s="6">
        <v>1</v>
      </c>
      <c r="K969" s="6">
        <v>0</v>
      </c>
      <c r="L969" s="6">
        <v>0</v>
      </c>
      <c r="M969" s="6">
        <v>0</v>
      </c>
      <c r="N969" s="6">
        <v>0</v>
      </c>
      <c r="O969" s="6">
        <v>0</v>
      </c>
      <c r="P969" s="6">
        <f>IF(O969&gt;0,1,0)</f>
        <v>0</v>
      </c>
      <c r="Q969" s="6">
        <v>0</v>
      </c>
      <c r="S969" s="6">
        <v>80.099999999999994</v>
      </c>
      <c r="T969" s="6">
        <f>IF(S969="",MEDIAN($S$2:$S$1409),S969)</f>
        <v>80.099999999999994</v>
      </c>
    </row>
    <row r="970" spans="1:20" ht="15" customHeight="1">
      <c r="A970" s="6" t="s">
        <v>1005</v>
      </c>
      <c r="B970" s="7">
        <v>45739</v>
      </c>
      <c r="C970" s="6" t="s">
        <v>727</v>
      </c>
      <c r="D970" s="6" t="s">
        <v>36</v>
      </c>
      <c r="E970" s="6" t="s">
        <v>28</v>
      </c>
      <c r="F970" s="6" t="str">
        <f>IF(E970="","Unknown",E970)</f>
        <v>Mobile</v>
      </c>
      <c r="G970" s="6" t="s">
        <v>45</v>
      </c>
      <c r="H970" s="6" t="str">
        <f>IF(G970="","Unknown",G970)</f>
        <v>Social</v>
      </c>
      <c r="I970" s="6" t="s">
        <v>30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f>IF(O970&gt;0,1,0)</f>
        <v>0</v>
      </c>
      <c r="Q970" s="6">
        <v>0</v>
      </c>
      <c r="S970" s="6">
        <v>64.3</v>
      </c>
      <c r="T970" s="6">
        <f>IF(S970="",MEDIAN($S$2:$S$1409),S970)</f>
        <v>64.3</v>
      </c>
    </row>
    <row r="971" spans="1:20" ht="15" customHeight="1">
      <c r="A971" s="6" t="s">
        <v>1006</v>
      </c>
      <c r="B971" s="7">
        <v>45772</v>
      </c>
      <c r="C971" s="6" t="s">
        <v>727</v>
      </c>
      <c r="D971" s="6" t="s">
        <v>36</v>
      </c>
      <c r="E971" s="6" t="s">
        <v>23</v>
      </c>
      <c r="F971" s="6" t="str">
        <f>IF(E971="","Unknown",E971)</f>
        <v>Desktop</v>
      </c>
      <c r="G971" s="6" t="s">
        <v>45</v>
      </c>
      <c r="H971" s="6" t="str">
        <f>IF(G971="","Unknown",G971)</f>
        <v>Social</v>
      </c>
      <c r="I971" s="6" t="s">
        <v>30</v>
      </c>
      <c r="J971" s="6">
        <v>0</v>
      </c>
      <c r="K971" s="6">
        <v>0</v>
      </c>
      <c r="L971" s="6">
        <v>0</v>
      </c>
      <c r="M971" s="6">
        <v>0</v>
      </c>
      <c r="N971" s="6">
        <v>0</v>
      </c>
      <c r="O971" s="6">
        <v>1</v>
      </c>
      <c r="P971" s="6">
        <f>IF(O971&gt;0,1,0)</f>
        <v>1</v>
      </c>
      <c r="Q971" s="6">
        <v>0</v>
      </c>
      <c r="S971" s="6">
        <v>57.4</v>
      </c>
      <c r="T971" s="6">
        <f>IF(S971="",MEDIAN($S$2:$S$1409),S971)</f>
        <v>57.4</v>
      </c>
    </row>
    <row r="972" spans="1:20" ht="15" customHeight="1">
      <c r="A972" s="6" t="s">
        <v>1007</v>
      </c>
      <c r="B972" s="7">
        <v>45787</v>
      </c>
      <c r="C972" s="6" t="s">
        <v>727</v>
      </c>
      <c r="D972" s="6" t="s">
        <v>22</v>
      </c>
      <c r="E972" s="6" t="s">
        <v>23</v>
      </c>
      <c r="F972" s="6" t="str">
        <f>IF(E972="","Unknown",E972)</f>
        <v>Desktop</v>
      </c>
      <c r="G972" s="6" t="s">
        <v>45</v>
      </c>
      <c r="H972" s="6" t="str">
        <f>IF(G972="","Unknown",G972)</f>
        <v>Social</v>
      </c>
      <c r="I972" s="6" t="s">
        <v>30</v>
      </c>
      <c r="J972" s="6">
        <v>1</v>
      </c>
      <c r="K972" s="6">
        <v>1</v>
      </c>
      <c r="L972" s="6">
        <v>1</v>
      </c>
      <c r="M972" s="6">
        <v>0</v>
      </c>
      <c r="N972" s="6">
        <v>0</v>
      </c>
      <c r="O972" s="6">
        <v>0</v>
      </c>
      <c r="P972" s="6">
        <f>IF(O972&gt;0,1,0)</f>
        <v>0</v>
      </c>
      <c r="Q972" s="6">
        <v>0</v>
      </c>
      <c r="S972" s="6">
        <v>83.6</v>
      </c>
      <c r="T972" s="6">
        <f>IF(S972="",MEDIAN($S$2:$S$1409),S972)</f>
        <v>83.6</v>
      </c>
    </row>
    <row r="973" spans="1:20" ht="15" customHeight="1">
      <c r="A973" s="6" t="s">
        <v>1008</v>
      </c>
      <c r="B973" s="7">
        <v>45769</v>
      </c>
      <c r="C973" s="6" t="s">
        <v>727</v>
      </c>
      <c r="D973" s="6" t="s">
        <v>32</v>
      </c>
      <c r="E973" s="6" t="s">
        <v>28</v>
      </c>
      <c r="F973" s="6" t="str">
        <f>IF(E973="","Unknown",E973)</f>
        <v>Mobile</v>
      </c>
      <c r="G973" s="6" t="s">
        <v>33</v>
      </c>
      <c r="H973" s="6" t="str">
        <f>IF(G973="","Unknown",G973)</f>
        <v>Paid Search</v>
      </c>
      <c r="I973" s="6" t="s">
        <v>34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  <c r="O973" s="6">
        <v>0</v>
      </c>
      <c r="P973" s="6">
        <f>IF(O973&gt;0,1,0)</f>
        <v>0</v>
      </c>
      <c r="Q973" s="6">
        <v>0</v>
      </c>
      <c r="S973" s="6">
        <v>45.8</v>
      </c>
      <c r="T973" s="6">
        <f>IF(S973="",MEDIAN($S$2:$S$1409),S973)</f>
        <v>45.8</v>
      </c>
    </row>
    <row r="974" spans="1:20" ht="15" customHeight="1">
      <c r="A974" s="6" t="s">
        <v>1009</v>
      </c>
      <c r="B974" s="7">
        <v>45706</v>
      </c>
      <c r="C974" s="6" t="s">
        <v>727</v>
      </c>
      <c r="D974" s="6" t="s">
        <v>27</v>
      </c>
      <c r="E974" s="6" t="s">
        <v>28</v>
      </c>
      <c r="F974" s="6" t="str">
        <f>IF(E974="","Unknown",E974)</f>
        <v>Mobile</v>
      </c>
      <c r="G974" s="6" t="s">
        <v>43</v>
      </c>
      <c r="H974" s="6" t="str">
        <f>IF(G974="","Unknown",G974)</f>
        <v>Referral</v>
      </c>
      <c r="I974" s="6" t="s">
        <v>25</v>
      </c>
      <c r="J974" s="6">
        <v>1</v>
      </c>
      <c r="K974" s="6">
        <v>1</v>
      </c>
      <c r="L974" s="6">
        <v>1</v>
      </c>
      <c r="M974" s="6">
        <v>0</v>
      </c>
      <c r="N974" s="6">
        <v>0</v>
      </c>
      <c r="O974" s="6">
        <v>0</v>
      </c>
      <c r="P974" s="6">
        <f>IF(O974&gt;0,1,0)</f>
        <v>0</v>
      </c>
      <c r="Q974" s="6">
        <v>0</v>
      </c>
      <c r="S974" s="6">
        <v>64.3</v>
      </c>
      <c r="T974" s="6">
        <f>IF(S974="",MEDIAN($S$2:$S$1409),S974)</f>
        <v>64.3</v>
      </c>
    </row>
    <row r="975" spans="1:20" ht="15" customHeight="1">
      <c r="A975" s="6" t="s">
        <v>1010</v>
      </c>
      <c r="B975" s="7">
        <v>45683</v>
      </c>
      <c r="C975" s="6" t="s">
        <v>727</v>
      </c>
      <c r="D975" s="6" t="s">
        <v>36</v>
      </c>
      <c r="E975" s="6" t="s">
        <v>28</v>
      </c>
      <c r="F975" s="6" t="str">
        <f>IF(E975="","Unknown",E975)</f>
        <v>Mobile</v>
      </c>
      <c r="G975" s="6" t="s">
        <v>33</v>
      </c>
      <c r="H975" s="6" t="str">
        <f>IF(G975="","Unknown",G975)</f>
        <v>Paid Search</v>
      </c>
      <c r="I975" s="6" t="s">
        <v>34</v>
      </c>
      <c r="J975" s="6">
        <v>1</v>
      </c>
      <c r="K975" s="6">
        <v>1</v>
      </c>
      <c r="L975" s="6">
        <v>1</v>
      </c>
      <c r="M975" s="6">
        <v>0</v>
      </c>
      <c r="N975" s="6">
        <v>0</v>
      </c>
      <c r="O975" s="6">
        <v>0</v>
      </c>
      <c r="P975" s="6">
        <f>IF(O975&gt;0,1,0)</f>
        <v>0</v>
      </c>
      <c r="Q975" s="6">
        <v>0</v>
      </c>
      <c r="S975" s="6">
        <v>80.5</v>
      </c>
      <c r="T975" s="6">
        <f>IF(S975="",MEDIAN($S$2:$S$1409),S975)</f>
        <v>80.5</v>
      </c>
    </row>
    <row r="976" spans="1:20" ht="15" customHeight="1">
      <c r="A976" s="6" t="s">
        <v>1011</v>
      </c>
      <c r="B976" s="7">
        <v>45775</v>
      </c>
      <c r="C976" s="6" t="s">
        <v>727</v>
      </c>
      <c r="D976" s="6" t="s">
        <v>22</v>
      </c>
      <c r="E976" s="6" t="s">
        <v>28</v>
      </c>
      <c r="F976" s="6" t="str">
        <f>IF(E976="","Unknown",E976)</f>
        <v>Mobile</v>
      </c>
      <c r="G976" s="6" t="s">
        <v>29</v>
      </c>
      <c r="H976" s="6" t="str">
        <f>IF(G976="","Unknown",G976)</f>
        <v>Organic</v>
      </c>
      <c r="I976" s="6" t="s">
        <v>30</v>
      </c>
      <c r="J976" s="6">
        <v>1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>
        <f>IF(O976&gt;0,1,0)</f>
        <v>0</v>
      </c>
      <c r="Q976" s="6">
        <v>0</v>
      </c>
      <c r="S976" s="6">
        <v>46.3</v>
      </c>
      <c r="T976" s="6">
        <f>IF(S976="",MEDIAN($S$2:$S$1409),S976)</f>
        <v>46.3</v>
      </c>
    </row>
    <row r="977" spans="1:20" ht="15" customHeight="1">
      <c r="A977" s="6" t="s">
        <v>1012</v>
      </c>
      <c r="B977" s="7">
        <v>45749</v>
      </c>
      <c r="C977" s="6" t="s">
        <v>727</v>
      </c>
      <c r="D977" s="6" t="s">
        <v>36</v>
      </c>
      <c r="E977" s="6" t="s">
        <v>23</v>
      </c>
      <c r="F977" s="6" t="str">
        <f>IF(E977="","Unknown",E977)</f>
        <v>Desktop</v>
      </c>
      <c r="G977" s="6" t="s">
        <v>24</v>
      </c>
      <c r="H977" s="6" t="str">
        <f>IF(G977="","Unknown",G977)</f>
        <v>Email</v>
      </c>
      <c r="I977" s="6" t="s">
        <v>25</v>
      </c>
      <c r="J977" s="6">
        <v>1</v>
      </c>
      <c r="K977" s="6">
        <v>0</v>
      </c>
      <c r="L977" s="6">
        <v>0</v>
      </c>
      <c r="M977" s="6">
        <v>0</v>
      </c>
      <c r="N977" s="6">
        <v>0</v>
      </c>
      <c r="O977" s="6">
        <v>0</v>
      </c>
      <c r="P977" s="6">
        <f>IF(O977&gt;0,1,0)</f>
        <v>0</v>
      </c>
      <c r="Q977" s="6">
        <v>0</v>
      </c>
      <c r="S977" s="6">
        <v>71.599999999999994</v>
      </c>
      <c r="T977" s="6">
        <f>IF(S977="",MEDIAN($S$2:$S$1409),S977)</f>
        <v>71.599999999999994</v>
      </c>
    </row>
    <row r="978" spans="1:20" ht="15" customHeight="1">
      <c r="A978" s="6" t="s">
        <v>1013</v>
      </c>
      <c r="B978" s="7">
        <v>45759</v>
      </c>
      <c r="C978" s="6" t="s">
        <v>727</v>
      </c>
      <c r="D978" s="6" t="s">
        <v>36</v>
      </c>
      <c r="E978" s="6" t="s">
        <v>23</v>
      </c>
      <c r="F978" s="6" t="str">
        <f>IF(E978="","Unknown",E978)</f>
        <v>Desktop</v>
      </c>
      <c r="G978" s="6" t="s">
        <v>24</v>
      </c>
      <c r="H978" s="6" t="str">
        <f>IF(G978="","Unknown",G978)</f>
        <v>Email</v>
      </c>
      <c r="I978" s="6" t="s">
        <v>34</v>
      </c>
      <c r="J978" s="6">
        <v>1</v>
      </c>
      <c r="K978" s="6">
        <v>1</v>
      </c>
      <c r="L978" s="6">
        <v>0</v>
      </c>
      <c r="M978" s="6">
        <v>0</v>
      </c>
      <c r="N978" s="6">
        <v>0</v>
      </c>
      <c r="O978" s="6">
        <v>0</v>
      </c>
      <c r="P978" s="6">
        <f>IF(O978&gt;0,1,0)</f>
        <v>0</v>
      </c>
      <c r="Q978" s="6">
        <v>0</v>
      </c>
      <c r="S978" s="6">
        <v>57.8</v>
      </c>
      <c r="T978" s="6">
        <f>IF(S978="",MEDIAN($S$2:$S$1409),S978)</f>
        <v>57.8</v>
      </c>
    </row>
    <row r="979" spans="1:20" ht="15" customHeight="1">
      <c r="A979" s="6" t="s">
        <v>1014</v>
      </c>
      <c r="B979" s="7">
        <v>45660</v>
      </c>
      <c r="C979" s="6" t="s">
        <v>727</v>
      </c>
      <c r="D979" s="6" t="s">
        <v>27</v>
      </c>
      <c r="E979" s="6" t="s">
        <v>23</v>
      </c>
      <c r="F979" s="6" t="str">
        <f>IF(E979="","Unknown",E979)</f>
        <v>Desktop</v>
      </c>
      <c r="G979" s="6" t="s">
        <v>24</v>
      </c>
      <c r="H979" s="6" t="str">
        <f>IF(G979="","Unknown",G979)</f>
        <v>Email</v>
      </c>
      <c r="I979" s="6" t="s">
        <v>25</v>
      </c>
      <c r="J979" s="6">
        <v>1</v>
      </c>
      <c r="K979" s="6">
        <v>1</v>
      </c>
      <c r="L979" s="6">
        <v>1</v>
      </c>
      <c r="M979" s="6">
        <v>0</v>
      </c>
      <c r="N979" s="6">
        <v>0</v>
      </c>
      <c r="O979" s="6">
        <v>1</v>
      </c>
      <c r="P979" s="6">
        <f>IF(O979&gt;0,1,0)</f>
        <v>1</v>
      </c>
      <c r="Q979" s="6">
        <v>0</v>
      </c>
      <c r="S979" s="6">
        <v>57.8</v>
      </c>
      <c r="T979" s="6">
        <f>IF(S979="",MEDIAN($S$2:$S$1409),S979)</f>
        <v>57.8</v>
      </c>
    </row>
    <row r="980" spans="1:20" ht="15" customHeight="1">
      <c r="A980" s="6" t="s">
        <v>1015</v>
      </c>
      <c r="B980" s="7">
        <v>45785</v>
      </c>
      <c r="C980" s="6" t="s">
        <v>727</v>
      </c>
      <c r="D980" s="6" t="s">
        <v>22</v>
      </c>
      <c r="E980" s="6" t="s">
        <v>28</v>
      </c>
      <c r="F980" s="6" t="str">
        <f>IF(E980="","Unknown",E980)</f>
        <v>Mobile</v>
      </c>
      <c r="G980" s="6" t="s">
        <v>33</v>
      </c>
      <c r="H980" s="6" t="str">
        <f>IF(G980="","Unknown",G980)</f>
        <v>Paid Search</v>
      </c>
      <c r="I980" s="6" t="s">
        <v>30</v>
      </c>
      <c r="J980" s="6">
        <v>1</v>
      </c>
      <c r="K980" s="6">
        <v>0</v>
      </c>
      <c r="L980" s="6">
        <v>0</v>
      </c>
      <c r="M980" s="6">
        <v>0</v>
      </c>
      <c r="N980" s="6">
        <v>0</v>
      </c>
      <c r="O980" s="6">
        <v>0</v>
      </c>
      <c r="P980" s="6">
        <f>IF(O980&gt;0,1,0)</f>
        <v>0</v>
      </c>
      <c r="Q980" s="6">
        <v>0</v>
      </c>
      <c r="S980" s="6">
        <v>38.299999999999997</v>
      </c>
      <c r="T980" s="6">
        <f>IF(S980="",MEDIAN($S$2:$S$1409),S980)</f>
        <v>38.299999999999997</v>
      </c>
    </row>
    <row r="981" spans="1:20" ht="15" customHeight="1">
      <c r="A981" s="6" t="s">
        <v>1016</v>
      </c>
      <c r="B981" s="7">
        <v>45708</v>
      </c>
      <c r="C981" s="6" t="s">
        <v>727</v>
      </c>
      <c r="D981" s="6" t="s">
        <v>22</v>
      </c>
      <c r="E981" s="6" t="s">
        <v>28</v>
      </c>
      <c r="F981" s="6" t="str">
        <f>IF(E981="","Unknown",E981)</f>
        <v>Mobile</v>
      </c>
      <c r="G981" s="6" t="s">
        <v>43</v>
      </c>
      <c r="H981" s="6" t="str">
        <f>IF(G981="","Unknown",G981)</f>
        <v>Referral</v>
      </c>
      <c r="I981" s="6" t="s">
        <v>34</v>
      </c>
      <c r="J981" s="6">
        <v>1</v>
      </c>
      <c r="K981" s="6">
        <v>0</v>
      </c>
      <c r="L981" s="6">
        <v>0</v>
      </c>
      <c r="M981" s="6">
        <v>0</v>
      </c>
      <c r="N981" s="6">
        <v>0</v>
      </c>
      <c r="O981" s="6">
        <v>1</v>
      </c>
      <c r="P981" s="6">
        <f>IF(O981&gt;0,1,0)</f>
        <v>1</v>
      </c>
      <c r="Q981" s="6">
        <v>0</v>
      </c>
      <c r="S981" s="6">
        <v>66.099999999999994</v>
      </c>
      <c r="T981" s="6">
        <f>IF(S981="",MEDIAN($S$2:$S$1409),S981)</f>
        <v>66.099999999999994</v>
      </c>
    </row>
    <row r="982" spans="1:20" ht="15" customHeight="1">
      <c r="A982" s="6" t="s">
        <v>1017</v>
      </c>
      <c r="B982" s="7">
        <v>45733</v>
      </c>
      <c r="C982" s="6" t="s">
        <v>727</v>
      </c>
      <c r="D982" s="6" t="s">
        <v>22</v>
      </c>
      <c r="E982" s="6" t="s">
        <v>23</v>
      </c>
      <c r="F982" s="6" t="str">
        <f>IF(E982="","Unknown",E982)</f>
        <v>Desktop</v>
      </c>
      <c r="G982" s="6" t="s">
        <v>33</v>
      </c>
      <c r="H982" s="6" t="str">
        <f>IF(G982="","Unknown",G982)</f>
        <v>Paid Search</v>
      </c>
      <c r="I982" s="6" t="s">
        <v>34</v>
      </c>
      <c r="J982" s="6">
        <v>1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f>IF(O982&gt;0,1,0)</f>
        <v>0</v>
      </c>
      <c r="Q982" s="6">
        <v>0</v>
      </c>
      <c r="S982" s="6">
        <v>66.5</v>
      </c>
      <c r="T982" s="6">
        <f>IF(S982="",MEDIAN($S$2:$S$1409),S982)</f>
        <v>66.5</v>
      </c>
    </row>
    <row r="983" spans="1:20" ht="15" customHeight="1">
      <c r="A983" s="6" t="s">
        <v>1018</v>
      </c>
      <c r="B983" s="7">
        <v>45757</v>
      </c>
      <c r="C983" s="6" t="s">
        <v>727</v>
      </c>
      <c r="D983" s="6" t="s">
        <v>36</v>
      </c>
      <c r="E983" s="6" t="s">
        <v>23</v>
      </c>
      <c r="F983" s="6" t="str">
        <f>IF(E983="","Unknown",E983)</f>
        <v>Desktop</v>
      </c>
      <c r="G983" s="6" t="s">
        <v>24</v>
      </c>
      <c r="H983" s="6" t="str">
        <f>IF(G983="","Unknown",G983)</f>
        <v>Email</v>
      </c>
      <c r="I983" s="6" t="s">
        <v>30</v>
      </c>
      <c r="J983" s="6">
        <v>1</v>
      </c>
      <c r="K983" s="6">
        <v>0</v>
      </c>
      <c r="L983" s="6">
        <v>0</v>
      </c>
      <c r="M983" s="6">
        <v>0</v>
      </c>
      <c r="N983" s="6">
        <v>0</v>
      </c>
      <c r="O983" s="6">
        <v>3</v>
      </c>
      <c r="P983" s="6">
        <f>IF(O983&gt;0,1,0)</f>
        <v>1</v>
      </c>
      <c r="Q983" s="6">
        <v>0</v>
      </c>
      <c r="S983" s="6">
        <v>51.5</v>
      </c>
      <c r="T983" s="6">
        <f>IF(S983="",MEDIAN($S$2:$S$1409),S983)</f>
        <v>51.5</v>
      </c>
    </row>
    <row r="984" spans="1:20" ht="15" customHeight="1">
      <c r="A984" s="6" t="s">
        <v>1019</v>
      </c>
      <c r="B984" s="7">
        <v>45785</v>
      </c>
      <c r="C984" s="6" t="s">
        <v>727</v>
      </c>
      <c r="D984" s="6" t="s">
        <v>22</v>
      </c>
      <c r="E984" s="6" t="s">
        <v>23</v>
      </c>
      <c r="F984" s="6" t="str">
        <f>IF(E984="","Unknown",E984)</f>
        <v>Desktop</v>
      </c>
      <c r="G984" s="6" t="s">
        <v>43</v>
      </c>
      <c r="H984" s="6" t="str">
        <f>IF(G984="","Unknown",G984)</f>
        <v>Referral</v>
      </c>
      <c r="I984" s="6" t="s">
        <v>30</v>
      </c>
      <c r="J984" s="6">
        <v>1</v>
      </c>
      <c r="K984" s="6">
        <v>0</v>
      </c>
      <c r="L984" s="6">
        <v>0</v>
      </c>
      <c r="M984" s="6">
        <v>0</v>
      </c>
      <c r="N984" s="6">
        <v>0</v>
      </c>
      <c r="O984" s="6">
        <v>0</v>
      </c>
      <c r="P984" s="6">
        <f>IF(O984&gt;0,1,0)</f>
        <v>0</v>
      </c>
      <c r="Q984" s="6">
        <v>0</v>
      </c>
      <c r="S984" s="6">
        <v>59.9</v>
      </c>
      <c r="T984" s="6">
        <f>IF(S984="",MEDIAN($S$2:$S$1409),S984)</f>
        <v>59.9</v>
      </c>
    </row>
    <row r="985" spans="1:20" ht="15" customHeight="1">
      <c r="A985" s="6" t="s">
        <v>1020</v>
      </c>
      <c r="B985" s="7">
        <v>45766</v>
      </c>
      <c r="C985" s="6" t="s">
        <v>727</v>
      </c>
      <c r="D985" s="6" t="s">
        <v>27</v>
      </c>
      <c r="E985" s="6" t="s">
        <v>28</v>
      </c>
      <c r="F985" s="6" t="str">
        <f>IF(E985="","Unknown",E985)</f>
        <v>Mobile</v>
      </c>
      <c r="G985" s="6" t="s">
        <v>33</v>
      </c>
      <c r="H985" s="6" t="str">
        <f>IF(G985="","Unknown",G985)</f>
        <v>Paid Search</v>
      </c>
      <c r="I985" s="6" t="s">
        <v>25</v>
      </c>
      <c r="J985" s="6">
        <v>1</v>
      </c>
      <c r="K985" s="6">
        <v>0</v>
      </c>
      <c r="L985" s="6">
        <v>0</v>
      </c>
      <c r="M985" s="6">
        <v>0</v>
      </c>
      <c r="N985" s="6">
        <v>0</v>
      </c>
      <c r="O985" s="6">
        <v>0</v>
      </c>
      <c r="P985" s="6">
        <f>IF(O985&gt;0,1,0)</f>
        <v>0</v>
      </c>
      <c r="Q985" s="6">
        <v>0</v>
      </c>
      <c r="S985" s="6">
        <v>58.8</v>
      </c>
      <c r="T985" s="6">
        <f>IF(S985="",MEDIAN($S$2:$S$1409),S985)</f>
        <v>58.8</v>
      </c>
    </row>
    <row r="986" spans="1:20" ht="15" customHeight="1">
      <c r="A986" s="6" t="s">
        <v>1021</v>
      </c>
      <c r="B986" s="7">
        <v>45658</v>
      </c>
      <c r="C986" s="6" t="s">
        <v>727</v>
      </c>
      <c r="D986" s="6" t="s">
        <v>36</v>
      </c>
      <c r="E986" s="6" t="s">
        <v>38</v>
      </c>
      <c r="F986" s="6" t="str">
        <f>IF(E986="","Unknown",E986)</f>
        <v>Tablet</v>
      </c>
      <c r="G986" s="6" t="s">
        <v>33</v>
      </c>
      <c r="H986" s="6" t="str">
        <f>IF(G986="","Unknown",G986)</f>
        <v>Paid Search</v>
      </c>
      <c r="I986" s="6" t="s">
        <v>25</v>
      </c>
      <c r="J986" s="6">
        <v>1</v>
      </c>
      <c r="K986" s="6">
        <v>0</v>
      </c>
      <c r="L986" s="6">
        <v>0</v>
      </c>
      <c r="M986" s="6">
        <v>0</v>
      </c>
      <c r="N986" s="6">
        <v>0</v>
      </c>
      <c r="O986" s="6">
        <v>0</v>
      </c>
      <c r="P986" s="6">
        <f>IF(O986&gt;0,1,0)</f>
        <v>0</v>
      </c>
      <c r="Q986" s="6">
        <v>0</v>
      </c>
      <c r="S986" s="6">
        <v>69.599999999999994</v>
      </c>
      <c r="T986" s="6">
        <f>IF(S986="",MEDIAN($S$2:$S$1409),S986)</f>
        <v>69.599999999999994</v>
      </c>
    </row>
    <row r="987" spans="1:20" ht="15" customHeight="1">
      <c r="A987" s="6" t="s">
        <v>1022</v>
      </c>
      <c r="B987" s="7">
        <v>45726</v>
      </c>
      <c r="C987" s="6" t="s">
        <v>727</v>
      </c>
      <c r="D987" s="6" t="s">
        <v>32</v>
      </c>
      <c r="E987" s="6" t="s">
        <v>28</v>
      </c>
      <c r="F987" s="6" t="str">
        <f>IF(E987="","Unknown",E987)</f>
        <v>Mobile</v>
      </c>
      <c r="G987" s="6" t="s">
        <v>33</v>
      </c>
      <c r="H987" s="6" t="str">
        <f>IF(G987="","Unknown",G987)</f>
        <v>Paid Search</v>
      </c>
      <c r="I987" s="6" t="s">
        <v>30</v>
      </c>
      <c r="J987" s="6">
        <v>1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f>IF(O987&gt;0,1,0)</f>
        <v>0</v>
      </c>
      <c r="Q987" s="6">
        <v>0</v>
      </c>
      <c r="S987" s="6">
        <v>77.5</v>
      </c>
      <c r="T987" s="6">
        <f>IF(S987="",MEDIAN($S$2:$S$1409),S987)</f>
        <v>77.5</v>
      </c>
    </row>
    <row r="988" spans="1:20" ht="15" customHeight="1">
      <c r="A988" s="6" t="s">
        <v>1023</v>
      </c>
      <c r="B988" s="7">
        <v>45726</v>
      </c>
      <c r="C988" s="6" t="s">
        <v>727</v>
      </c>
      <c r="D988" s="6" t="s">
        <v>32</v>
      </c>
      <c r="E988" s="6" t="s">
        <v>38</v>
      </c>
      <c r="F988" s="6" t="str">
        <f>IF(E988="","Unknown",E988)</f>
        <v>Tablet</v>
      </c>
      <c r="G988" s="6" t="s">
        <v>45</v>
      </c>
      <c r="H988" s="6" t="str">
        <f>IF(G988="","Unknown",G988)</f>
        <v>Social</v>
      </c>
      <c r="I988" s="6" t="s">
        <v>34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2</v>
      </c>
      <c r="P988" s="6">
        <f>IF(O988&gt;0,1,0)</f>
        <v>1</v>
      </c>
      <c r="Q988" s="6">
        <v>0</v>
      </c>
      <c r="S988" s="6">
        <v>57.5</v>
      </c>
      <c r="T988" s="6">
        <f>IF(S988="",MEDIAN($S$2:$S$1409),S988)</f>
        <v>57.5</v>
      </c>
    </row>
    <row r="989" spans="1:20" ht="15" customHeight="1">
      <c r="A989" s="6" t="s">
        <v>1024</v>
      </c>
      <c r="B989" s="7">
        <v>45766</v>
      </c>
      <c r="C989" s="6" t="s">
        <v>727</v>
      </c>
      <c r="D989" s="6" t="s">
        <v>27</v>
      </c>
      <c r="E989" s="6" t="s">
        <v>38</v>
      </c>
      <c r="F989" s="6" t="str">
        <f>IF(E989="","Unknown",E989)</f>
        <v>Tablet</v>
      </c>
      <c r="G989" s="6" t="s">
        <v>24</v>
      </c>
      <c r="H989" s="6" t="str">
        <f>IF(G989="","Unknown",G989)</f>
        <v>Email</v>
      </c>
      <c r="I989" s="6" t="s">
        <v>25</v>
      </c>
      <c r="J989" s="6">
        <v>1</v>
      </c>
      <c r="K989" s="6">
        <v>0</v>
      </c>
      <c r="L989" s="6">
        <v>0</v>
      </c>
      <c r="M989" s="6">
        <v>0</v>
      </c>
      <c r="N989" s="6">
        <v>0</v>
      </c>
      <c r="O989" s="6">
        <v>0</v>
      </c>
      <c r="P989" s="6">
        <f>IF(O989&gt;0,1,0)</f>
        <v>0</v>
      </c>
      <c r="Q989" s="6">
        <v>0</v>
      </c>
      <c r="S989" s="6">
        <v>64.2</v>
      </c>
      <c r="T989" s="6">
        <f>IF(S989="",MEDIAN($S$2:$S$1409),S989)</f>
        <v>64.2</v>
      </c>
    </row>
    <row r="990" spans="1:20" ht="15" customHeight="1">
      <c r="A990" s="6" t="s">
        <v>1025</v>
      </c>
      <c r="B990" s="7">
        <v>45758</v>
      </c>
      <c r="C990" s="6" t="s">
        <v>727</v>
      </c>
      <c r="D990" s="6" t="s">
        <v>27</v>
      </c>
      <c r="E990" s="6" t="s">
        <v>23</v>
      </c>
      <c r="F990" s="6" t="str">
        <f>IF(E990="","Unknown",E990)</f>
        <v>Desktop</v>
      </c>
      <c r="G990" s="6" t="s">
        <v>29</v>
      </c>
      <c r="H990" s="6" t="str">
        <f>IF(G990="","Unknown",G990)</f>
        <v>Organic</v>
      </c>
      <c r="I990" s="6" t="s">
        <v>30</v>
      </c>
      <c r="J990" s="6">
        <v>0</v>
      </c>
      <c r="K990" s="6">
        <v>0</v>
      </c>
      <c r="L990" s="6">
        <v>0</v>
      </c>
      <c r="M990" s="6">
        <v>0</v>
      </c>
      <c r="N990" s="6">
        <v>0</v>
      </c>
      <c r="O990" s="6">
        <v>0</v>
      </c>
      <c r="P990" s="6">
        <f>IF(O990&gt;0,1,0)</f>
        <v>0</v>
      </c>
      <c r="Q990" s="6">
        <v>0</v>
      </c>
      <c r="S990" s="6">
        <v>60</v>
      </c>
      <c r="T990" s="6">
        <f>IF(S990="",MEDIAN($S$2:$S$1409),S990)</f>
        <v>60</v>
      </c>
    </row>
    <row r="991" spans="1:20" ht="15" customHeight="1">
      <c r="A991" s="6" t="s">
        <v>1026</v>
      </c>
      <c r="B991" s="7">
        <v>45757</v>
      </c>
      <c r="C991" s="6" t="s">
        <v>727</v>
      </c>
      <c r="D991" s="6" t="s">
        <v>32</v>
      </c>
      <c r="E991" s="6" t="s">
        <v>28</v>
      </c>
      <c r="F991" s="6" t="str">
        <f>IF(E991="","Unknown",E991)</f>
        <v>Mobile</v>
      </c>
      <c r="G991" s="6" t="s">
        <v>29</v>
      </c>
      <c r="H991" s="6" t="str">
        <f>IF(G991="","Unknown",G991)</f>
        <v>Organic</v>
      </c>
      <c r="I991" s="6" t="s">
        <v>25</v>
      </c>
      <c r="J991" s="6">
        <v>1</v>
      </c>
      <c r="K991" s="6">
        <v>0</v>
      </c>
      <c r="L991" s="6">
        <v>0</v>
      </c>
      <c r="M991" s="6">
        <v>0</v>
      </c>
      <c r="N991" s="6">
        <v>0</v>
      </c>
      <c r="O991" s="6">
        <v>1</v>
      </c>
      <c r="P991" s="6">
        <f>IF(O991&gt;0,1,0)</f>
        <v>1</v>
      </c>
      <c r="Q991" s="6">
        <v>0</v>
      </c>
      <c r="S991" s="6">
        <v>43.7</v>
      </c>
      <c r="T991" s="6">
        <f>IF(S991="",MEDIAN($S$2:$S$1409),S991)</f>
        <v>43.7</v>
      </c>
    </row>
    <row r="992" spans="1:20" ht="15" customHeight="1">
      <c r="A992" s="6" t="s">
        <v>1027</v>
      </c>
      <c r="B992" s="7">
        <v>45670</v>
      </c>
      <c r="C992" s="6" t="s">
        <v>727</v>
      </c>
      <c r="D992" s="6" t="s">
        <v>27</v>
      </c>
      <c r="E992" s="6" t="s">
        <v>23</v>
      </c>
      <c r="F992" s="6" t="str">
        <f>IF(E992="","Unknown",E992)</f>
        <v>Desktop</v>
      </c>
      <c r="G992" s="6" t="s">
        <v>45</v>
      </c>
      <c r="H992" s="6" t="str">
        <f>IF(G992="","Unknown",G992)</f>
        <v>Social</v>
      </c>
      <c r="I992" s="6" t="s">
        <v>30</v>
      </c>
      <c r="J992" s="6">
        <v>1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f>IF(O992&gt;0,1,0)</f>
        <v>0</v>
      </c>
      <c r="Q992" s="6">
        <v>0</v>
      </c>
      <c r="S992" s="6">
        <v>64.900000000000006</v>
      </c>
      <c r="T992" s="6">
        <f>IF(S992="",MEDIAN($S$2:$S$1409),S992)</f>
        <v>64.900000000000006</v>
      </c>
    </row>
    <row r="993" spans="1:20" ht="15" customHeight="1">
      <c r="A993" s="6" t="s">
        <v>1028</v>
      </c>
      <c r="B993" s="7">
        <v>45744</v>
      </c>
      <c r="C993" s="6" t="s">
        <v>727</v>
      </c>
      <c r="D993" s="6" t="s">
        <v>36</v>
      </c>
      <c r="E993" s="6" t="s">
        <v>23</v>
      </c>
      <c r="F993" s="6" t="str">
        <f>IF(E993="","Unknown",E993)</f>
        <v>Desktop</v>
      </c>
      <c r="G993" s="6" t="s">
        <v>29</v>
      </c>
      <c r="H993" s="6" t="str">
        <f>IF(G993="","Unknown",G993)</f>
        <v>Organic</v>
      </c>
      <c r="I993" s="6" t="s">
        <v>30</v>
      </c>
      <c r="J993" s="6">
        <v>1</v>
      </c>
      <c r="K993" s="6">
        <v>1</v>
      </c>
      <c r="L993" s="6">
        <v>0</v>
      </c>
      <c r="M993" s="6">
        <v>0</v>
      </c>
      <c r="N993" s="6">
        <v>0</v>
      </c>
      <c r="O993" s="6">
        <v>0</v>
      </c>
      <c r="P993" s="6">
        <f>IF(O993&gt;0,1,0)</f>
        <v>0</v>
      </c>
      <c r="Q993" s="6">
        <v>0</v>
      </c>
      <c r="S993" s="6">
        <v>45.5</v>
      </c>
      <c r="T993" s="6">
        <f>IF(S993="",MEDIAN($S$2:$S$1409),S993)</f>
        <v>45.5</v>
      </c>
    </row>
    <row r="994" spans="1:20" ht="15" customHeight="1">
      <c r="A994" s="6" t="s">
        <v>1029</v>
      </c>
      <c r="B994" s="7">
        <v>45686</v>
      </c>
      <c r="C994" s="6" t="s">
        <v>727</v>
      </c>
      <c r="D994" s="6" t="s">
        <v>32</v>
      </c>
      <c r="E994" s="6" t="s">
        <v>28</v>
      </c>
      <c r="F994" s="6" t="str">
        <f>IF(E994="","Unknown",E994)</f>
        <v>Mobile</v>
      </c>
      <c r="G994" s="6" t="s">
        <v>33</v>
      </c>
      <c r="H994" s="6" t="str">
        <f>IF(G994="","Unknown",G994)</f>
        <v>Paid Search</v>
      </c>
      <c r="I994" s="6" t="s">
        <v>30</v>
      </c>
      <c r="J994" s="6">
        <v>1</v>
      </c>
      <c r="K994" s="6">
        <v>1</v>
      </c>
      <c r="L994" s="6">
        <v>1</v>
      </c>
      <c r="M994" s="6">
        <v>1</v>
      </c>
      <c r="N994" s="6">
        <v>1772.97</v>
      </c>
      <c r="O994" s="6">
        <v>0</v>
      </c>
      <c r="P994" s="6">
        <f>IF(O994&gt;0,1,0)</f>
        <v>0</v>
      </c>
      <c r="Q994" s="6">
        <v>0</v>
      </c>
      <c r="R994" s="6">
        <v>8</v>
      </c>
      <c r="S994" s="6">
        <v>61.2</v>
      </c>
      <c r="T994" s="6">
        <f>IF(S994="",MEDIAN($S$2:$S$1409),S994)</f>
        <v>61.2</v>
      </c>
    </row>
    <row r="995" spans="1:20" ht="15" customHeight="1">
      <c r="A995" s="6" t="s">
        <v>1030</v>
      </c>
      <c r="B995" s="7">
        <v>45743</v>
      </c>
      <c r="C995" s="6" t="s">
        <v>727</v>
      </c>
      <c r="D995" s="6" t="s">
        <v>36</v>
      </c>
      <c r="E995" s="6" t="s">
        <v>28</v>
      </c>
      <c r="F995" s="6" t="str">
        <f>IF(E995="","Unknown",E995)</f>
        <v>Mobile</v>
      </c>
      <c r="G995" s="6" t="s">
        <v>43</v>
      </c>
      <c r="H995" s="6" t="str">
        <f>IF(G995="","Unknown",G995)</f>
        <v>Referral</v>
      </c>
      <c r="I995" s="6" t="s">
        <v>30</v>
      </c>
      <c r="J995" s="6">
        <v>0</v>
      </c>
      <c r="K995" s="6">
        <v>0</v>
      </c>
      <c r="L995" s="6">
        <v>0</v>
      </c>
      <c r="M995" s="6">
        <v>0</v>
      </c>
      <c r="N995" s="6">
        <v>0</v>
      </c>
      <c r="O995" s="6">
        <v>0</v>
      </c>
      <c r="P995" s="6">
        <f>IF(O995&gt;0,1,0)</f>
        <v>0</v>
      </c>
      <c r="Q995" s="6">
        <v>0</v>
      </c>
      <c r="S995" s="6">
        <v>87.8</v>
      </c>
      <c r="T995" s="6">
        <f>IF(S995="",MEDIAN($S$2:$S$1409),S995)</f>
        <v>87.8</v>
      </c>
    </row>
    <row r="996" spans="1:20" ht="15" customHeight="1">
      <c r="A996" s="6" t="s">
        <v>1031</v>
      </c>
      <c r="B996" s="7">
        <v>45736</v>
      </c>
      <c r="C996" s="6" t="s">
        <v>727</v>
      </c>
      <c r="D996" s="6" t="s">
        <v>32</v>
      </c>
      <c r="E996" s="6" t="s">
        <v>38</v>
      </c>
      <c r="F996" s="6" t="str">
        <f>IF(E996="","Unknown",E996)</f>
        <v>Tablet</v>
      </c>
      <c r="G996" s="6" t="s">
        <v>45</v>
      </c>
      <c r="H996" s="6" t="str">
        <f>IF(G996="","Unknown",G996)</f>
        <v>Social</v>
      </c>
      <c r="I996" s="6" t="s">
        <v>30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>
        <v>0</v>
      </c>
      <c r="P996" s="6">
        <f>IF(O996&gt;0,1,0)</f>
        <v>0</v>
      </c>
      <c r="Q996" s="6">
        <v>0</v>
      </c>
      <c r="S996" s="6">
        <v>86.4</v>
      </c>
      <c r="T996" s="6">
        <f>IF(S996="",MEDIAN($S$2:$S$1409),S996)</f>
        <v>86.4</v>
      </c>
    </row>
    <row r="997" spans="1:20" ht="15" customHeight="1">
      <c r="A997" s="6" t="s">
        <v>1032</v>
      </c>
      <c r="B997" s="7">
        <v>45666</v>
      </c>
      <c r="C997" s="6" t="s">
        <v>727</v>
      </c>
      <c r="D997" s="6" t="s">
        <v>22</v>
      </c>
      <c r="E997" s="6" t="s">
        <v>28</v>
      </c>
      <c r="F997" s="6" t="str">
        <f>IF(E997="","Unknown",E997)</f>
        <v>Mobile</v>
      </c>
      <c r="G997" s="6" t="s">
        <v>33</v>
      </c>
      <c r="H997" s="6" t="str">
        <f>IF(G997="","Unknown",G997)</f>
        <v>Paid Search</v>
      </c>
      <c r="I997" s="6" t="s">
        <v>25</v>
      </c>
      <c r="J997" s="6">
        <v>0</v>
      </c>
      <c r="K997" s="6">
        <v>0</v>
      </c>
      <c r="L997" s="6">
        <v>0</v>
      </c>
      <c r="M997" s="6">
        <v>0</v>
      </c>
      <c r="N997" s="6">
        <v>0</v>
      </c>
      <c r="O997" s="6">
        <v>1</v>
      </c>
      <c r="P997" s="6">
        <f>IF(O997&gt;0,1,0)</f>
        <v>1</v>
      </c>
      <c r="Q997" s="6">
        <v>0</v>
      </c>
      <c r="S997" s="6">
        <v>71.400000000000006</v>
      </c>
      <c r="T997" s="6">
        <f>IF(S997="",MEDIAN($S$2:$S$1409),S997)</f>
        <v>71.400000000000006</v>
      </c>
    </row>
    <row r="998" spans="1:20" ht="15" customHeight="1">
      <c r="A998" s="6" t="s">
        <v>1033</v>
      </c>
      <c r="B998" s="7">
        <v>45772</v>
      </c>
      <c r="C998" s="6" t="s">
        <v>727</v>
      </c>
      <c r="D998" s="6" t="s">
        <v>27</v>
      </c>
      <c r="E998" s="6" t="s">
        <v>28</v>
      </c>
      <c r="F998" s="6" t="str">
        <f>IF(E998="","Unknown",E998)</f>
        <v>Mobile</v>
      </c>
      <c r="G998" s="6" t="s">
        <v>45</v>
      </c>
      <c r="H998" s="6" t="str">
        <f>IF(G998="","Unknown",G998)</f>
        <v>Social</v>
      </c>
      <c r="I998" s="6" t="s">
        <v>30</v>
      </c>
      <c r="J998" s="6">
        <v>1</v>
      </c>
      <c r="K998" s="6">
        <v>1</v>
      </c>
      <c r="L998" s="6">
        <v>1</v>
      </c>
      <c r="M998" s="6">
        <v>1</v>
      </c>
      <c r="N998" s="6">
        <v>218.66</v>
      </c>
      <c r="O998" s="6">
        <v>0</v>
      </c>
      <c r="P998" s="6">
        <f>IF(O998&gt;0,1,0)</f>
        <v>0</v>
      </c>
      <c r="Q998" s="6">
        <v>1</v>
      </c>
      <c r="R998" s="6">
        <v>8</v>
      </c>
      <c r="S998" s="6">
        <v>72.2</v>
      </c>
      <c r="T998" s="6">
        <f>IF(S998="",MEDIAN($S$2:$S$1409),S998)</f>
        <v>72.2</v>
      </c>
    </row>
    <row r="999" spans="1:20" ht="15" customHeight="1">
      <c r="A999" s="6" t="s">
        <v>1034</v>
      </c>
      <c r="B999" s="7">
        <v>45758</v>
      </c>
      <c r="C999" s="6" t="s">
        <v>727</v>
      </c>
      <c r="D999" s="6" t="s">
        <v>36</v>
      </c>
      <c r="E999" s="6" t="s">
        <v>23</v>
      </c>
      <c r="F999" s="6" t="str">
        <f>IF(E999="","Unknown",E999)</f>
        <v>Desktop</v>
      </c>
      <c r="G999" s="6" t="s">
        <v>45</v>
      </c>
      <c r="H999" s="6" t="str">
        <f>IF(G999="","Unknown",G999)</f>
        <v>Social</v>
      </c>
      <c r="I999" s="6" t="s">
        <v>30</v>
      </c>
      <c r="J999" s="6">
        <v>1</v>
      </c>
      <c r="K999" s="6">
        <v>0</v>
      </c>
      <c r="L999" s="6">
        <v>0</v>
      </c>
      <c r="M999" s="6">
        <v>0</v>
      </c>
      <c r="N999" s="6">
        <v>0</v>
      </c>
      <c r="O999" s="6">
        <v>0</v>
      </c>
      <c r="P999" s="6">
        <f>IF(O999&gt;0,1,0)</f>
        <v>0</v>
      </c>
      <c r="Q999" s="6">
        <v>0</v>
      </c>
      <c r="S999" s="6">
        <v>51.9</v>
      </c>
      <c r="T999" s="6">
        <f>IF(S999="",MEDIAN($S$2:$S$1409),S999)</f>
        <v>51.9</v>
      </c>
    </row>
    <row r="1000" spans="1:20" ht="15" customHeight="1">
      <c r="A1000" s="6" t="s">
        <v>1035</v>
      </c>
      <c r="B1000" s="7">
        <v>45693</v>
      </c>
      <c r="C1000" s="6" t="s">
        <v>727</v>
      </c>
      <c r="D1000" s="6" t="s">
        <v>32</v>
      </c>
      <c r="E1000" s="6" t="s">
        <v>28</v>
      </c>
      <c r="F1000" s="6" t="str">
        <f>IF(E1000="","Unknown",E1000)</f>
        <v>Mobile</v>
      </c>
      <c r="G1000" s="6" t="s">
        <v>45</v>
      </c>
      <c r="H1000" s="6" t="str">
        <f>IF(G1000="","Unknown",G1000)</f>
        <v>Social</v>
      </c>
      <c r="I1000" s="6" t="s">
        <v>25</v>
      </c>
      <c r="J1000" s="6">
        <v>1</v>
      </c>
      <c r="K1000" s="6">
        <v>1</v>
      </c>
      <c r="L1000" s="6">
        <v>1</v>
      </c>
      <c r="M1000" s="6">
        <v>0</v>
      </c>
      <c r="N1000" s="6">
        <v>0</v>
      </c>
      <c r="O1000" s="6">
        <v>0</v>
      </c>
      <c r="P1000" s="6">
        <f>IF(O1000&gt;0,1,0)</f>
        <v>0</v>
      </c>
      <c r="Q1000" s="6">
        <v>0</v>
      </c>
      <c r="S1000" s="6">
        <v>70.3</v>
      </c>
      <c r="T1000" s="6">
        <f>IF(S1000="",MEDIAN($S$2:$S$1409),S1000)</f>
        <v>70.3</v>
      </c>
    </row>
    <row r="1001" spans="1:20" ht="15" customHeight="1">
      <c r="A1001" s="6" t="s">
        <v>1036</v>
      </c>
      <c r="B1001" s="7">
        <v>45744</v>
      </c>
      <c r="C1001" s="6" t="s">
        <v>727</v>
      </c>
      <c r="D1001" s="6" t="s">
        <v>36</v>
      </c>
      <c r="E1001" s="6" t="s">
        <v>28</v>
      </c>
      <c r="F1001" s="6" t="str">
        <f>IF(E1001="","Unknown",E1001)</f>
        <v>Mobile</v>
      </c>
      <c r="G1001" s="6" t="s">
        <v>45</v>
      </c>
      <c r="H1001" s="6" t="str">
        <f>IF(G1001="","Unknown",G1001)</f>
        <v>Social</v>
      </c>
      <c r="I1001" s="6" t="s">
        <v>34</v>
      </c>
      <c r="J1001" s="6">
        <v>1</v>
      </c>
      <c r="K1001" s="6">
        <v>0</v>
      </c>
      <c r="L1001" s="6">
        <v>0</v>
      </c>
      <c r="M1001" s="6">
        <v>0</v>
      </c>
      <c r="N1001" s="6">
        <v>0</v>
      </c>
      <c r="O1001" s="6">
        <v>1</v>
      </c>
      <c r="P1001" s="6">
        <f>IF(O1001&gt;0,1,0)</f>
        <v>1</v>
      </c>
      <c r="Q1001" s="6">
        <v>0</v>
      </c>
      <c r="S1001" s="6">
        <v>49.2</v>
      </c>
      <c r="T1001" s="6">
        <f>IF(S1001="",MEDIAN($S$2:$S$1409),S1001)</f>
        <v>49.2</v>
      </c>
    </row>
    <row r="1002" spans="1:20" ht="15" customHeight="1">
      <c r="A1002" s="6" t="s">
        <v>1037</v>
      </c>
      <c r="B1002" s="7">
        <v>45791</v>
      </c>
      <c r="C1002" s="6" t="s">
        <v>727</v>
      </c>
      <c r="D1002" s="6" t="s">
        <v>36</v>
      </c>
      <c r="E1002" s="6" t="s">
        <v>28</v>
      </c>
      <c r="F1002" s="6" t="str">
        <f>IF(E1002="","Unknown",E1002)</f>
        <v>Mobile</v>
      </c>
      <c r="G1002" s="6" t="s">
        <v>43</v>
      </c>
      <c r="H1002" s="6" t="str">
        <f>IF(G1002="","Unknown",G1002)</f>
        <v>Referral</v>
      </c>
      <c r="I1002" s="6" t="s">
        <v>30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f>IF(O1002&gt;0,1,0)</f>
        <v>0</v>
      </c>
      <c r="Q1002" s="6">
        <v>0</v>
      </c>
      <c r="S1002" s="6">
        <v>52.2</v>
      </c>
      <c r="T1002" s="6">
        <f>IF(S1002="",MEDIAN($S$2:$S$1409),S1002)</f>
        <v>52.2</v>
      </c>
    </row>
    <row r="1003" spans="1:20" ht="15" customHeight="1">
      <c r="A1003" s="6" t="s">
        <v>1038</v>
      </c>
      <c r="B1003" s="7">
        <v>45726</v>
      </c>
      <c r="C1003" s="6" t="s">
        <v>727</v>
      </c>
      <c r="D1003" s="6" t="s">
        <v>32</v>
      </c>
      <c r="E1003" s="6" t="s">
        <v>28</v>
      </c>
      <c r="F1003" s="6" t="str">
        <f>IF(E1003="","Unknown",E1003)</f>
        <v>Mobile</v>
      </c>
      <c r="G1003" s="6" t="s">
        <v>33</v>
      </c>
      <c r="H1003" s="6" t="str">
        <f>IF(G1003="","Unknown",G1003)</f>
        <v>Paid Search</v>
      </c>
      <c r="I1003" s="6" t="s">
        <v>25</v>
      </c>
      <c r="J1003" s="6">
        <v>0</v>
      </c>
      <c r="K1003" s="6">
        <v>0</v>
      </c>
      <c r="L1003" s="6">
        <v>0</v>
      </c>
      <c r="M1003" s="6">
        <v>0</v>
      </c>
      <c r="N1003" s="6">
        <v>0</v>
      </c>
      <c r="O1003" s="6">
        <v>1</v>
      </c>
      <c r="P1003" s="6">
        <f>IF(O1003&gt;0,1,0)</f>
        <v>1</v>
      </c>
      <c r="Q1003" s="6">
        <v>0</v>
      </c>
      <c r="S1003" s="6">
        <v>62.6</v>
      </c>
      <c r="T1003" s="6">
        <f>IF(S1003="",MEDIAN($S$2:$S$1409),S1003)</f>
        <v>62.6</v>
      </c>
    </row>
    <row r="1004" spans="1:20" ht="15" customHeight="1">
      <c r="A1004" s="6" t="s">
        <v>1039</v>
      </c>
      <c r="B1004" s="7">
        <v>45756</v>
      </c>
      <c r="C1004" s="6" t="s">
        <v>727</v>
      </c>
      <c r="D1004" s="6" t="s">
        <v>32</v>
      </c>
      <c r="E1004" s="6" t="s">
        <v>23</v>
      </c>
      <c r="F1004" s="6" t="str">
        <f>IF(E1004="","Unknown",E1004)</f>
        <v>Desktop</v>
      </c>
      <c r="G1004" s="6" t="s">
        <v>33</v>
      </c>
      <c r="H1004" s="6" t="str">
        <f>IF(G1004="","Unknown",G1004)</f>
        <v>Paid Search</v>
      </c>
      <c r="I1004" s="6" t="s">
        <v>30</v>
      </c>
      <c r="J1004" s="6">
        <v>1</v>
      </c>
      <c r="K1004" s="6">
        <v>1</v>
      </c>
      <c r="L1004" s="6">
        <v>0</v>
      </c>
      <c r="M1004" s="6">
        <v>0</v>
      </c>
      <c r="N1004" s="6">
        <v>0</v>
      </c>
      <c r="O1004" s="6">
        <v>0</v>
      </c>
      <c r="P1004" s="6">
        <f>IF(O1004&gt;0,1,0)</f>
        <v>0</v>
      </c>
      <c r="Q1004" s="6">
        <v>0</v>
      </c>
      <c r="S1004" s="6">
        <v>100</v>
      </c>
      <c r="T1004" s="6">
        <f>IF(S1004="",MEDIAN($S$2:$S$1409),S1004)</f>
        <v>100</v>
      </c>
    </row>
    <row r="1005" spans="1:20" ht="15" customHeight="1">
      <c r="A1005" s="6" t="s">
        <v>1040</v>
      </c>
      <c r="B1005" s="7">
        <v>45701</v>
      </c>
      <c r="C1005" s="6" t="s">
        <v>727</v>
      </c>
      <c r="D1005" s="6" t="s">
        <v>22</v>
      </c>
      <c r="E1005" s="6" t="s">
        <v>28</v>
      </c>
      <c r="F1005" s="6" t="str">
        <f>IF(E1005="","Unknown",E1005)</f>
        <v>Mobile</v>
      </c>
      <c r="G1005" s="6" t="s">
        <v>43</v>
      </c>
      <c r="H1005" s="6" t="str">
        <f>IF(G1005="","Unknown",G1005)</f>
        <v>Referral</v>
      </c>
      <c r="I1005" s="6" t="s">
        <v>25</v>
      </c>
      <c r="J1005" s="6">
        <v>1</v>
      </c>
      <c r="K1005" s="6">
        <v>1</v>
      </c>
      <c r="L1005" s="6">
        <v>1</v>
      </c>
      <c r="M1005" s="6">
        <v>0</v>
      </c>
      <c r="N1005" s="6">
        <v>0</v>
      </c>
      <c r="O1005" s="6">
        <v>2</v>
      </c>
      <c r="P1005" s="6">
        <f>IF(O1005&gt;0,1,0)</f>
        <v>1</v>
      </c>
      <c r="Q1005" s="6">
        <v>0</v>
      </c>
      <c r="S1005" s="6">
        <v>45.9</v>
      </c>
      <c r="T1005" s="6">
        <f>IF(S1005="",MEDIAN($S$2:$S$1409),S1005)</f>
        <v>45.9</v>
      </c>
    </row>
    <row r="1006" spans="1:20" ht="15" customHeight="1">
      <c r="A1006" s="6" t="s">
        <v>1041</v>
      </c>
      <c r="B1006" s="7">
        <v>45780</v>
      </c>
      <c r="C1006" s="6" t="s">
        <v>727</v>
      </c>
      <c r="D1006" s="6" t="s">
        <v>32</v>
      </c>
      <c r="E1006" s="6" t="s">
        <v>28</v>
      </c>
      <c r="F1006" s="6" t="str">
        <f>IF(E1006="","Unknown",E1006)</f>
        <v>Mobile</v>
      </c>
      <c r="G1006" s="6" t="s">
        <v>24</v>
      </c>
      <c r="H1006" s="6" t="str">
        <f>IF(G1006="","Unknown",G1006)</f>
        <v>Email</v>
      </c>
      <c r="I1006" s="6" t="s">
        <v>30</v>
      </c>
      <c r="J1006" s="6">
        <v>1</v>
      </c>
      <c r="K1006" s="6">
        <v>1</v>
      </c>
      <c r="L1006" s="6">
        <v>1</v>
      </c>
      <c r="M1006" s="6">
        <v>0</v>
      </c>
      <c r="N1006" s="6">
        <v>0</v>
      </c>
      <c r="O1006" s="6">
        <v>0</v>
      </c>
      <c r="P1006" s="6">
        <f>IF(O1006&gt;0,1,0)</f>
        <v>0</v>
      </c>
      <c r="Q1006" s="6">
        <v>0</v>
      </c>
      <c r="S1006" s="6">
        <v>80.7</v>
      </c>
      <c r="T1006" s="6">
        <f>IF(S1006="",MEDIAN($S$2:$S$1409),S1006)</f>
        <v>80.7</v>
      </c>
    </row>
    <row r="1007" spans="1:20" ht="15" customHeight="1">
      <c r="A1007" s="6" t="s">
        <v>1042</v>
      </c>
      <c r="B1007" s="7">
        <v>45763</v>
      </c>
      <c r="C1007" s="6" t="s">
        <v>727</v>
      </c>
      <c r="D1007" s="6" t="s">
        <v>36</v>
      </c>
      <c r="E1007" s="6" t="s">
        <v>23</v>
      </c>
      <c r="F1007" s="6" t="str">
        <f>IF(E1007="","Unknown",E1007)</f>
        <v>Desktop</v>
      </c>
      <c r="G1007" s="6" t="s">
        <v>43</v>
      </c>
      <c r="H1007" s="6" t="str">
        <f>IF(G1007="","Unknown",G1007)</f>
        <v>Referral</v>
      </c>
      <c r="I1007" s="6" t="s">
        <v>34</v>
      </c>
      <c r="J1007" s="6">
        <v>1</v>
      </c>
      <c r="K1007" s="6"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f>IF(O1007&gt;0,1,0)</f>
        <v>0</v>
      </c>
      <c r="Q1007" s="6">
        <v>0</v>
      </c>
      <c r="S1007" s="6">
        <v>51.9</v>
      </c>
      <c r="T1007" s="6">
        <f>IF(S1007="",MEDIAN($S$2:$S$1409),S1007)</f>
        <v>51.9</v>
      </c>
    </row>
    <row r="1008" spans="1:20" ht="15" customHeight="1">
      <c r="A1008" s="6" t="s">
        <v>1043</v>
      </c>
      <c r="B1008" s="7">
        <v>45777</v>
      </c>
      <c r="C1008" s="6" t="s">
        <v>727</v>
      </c>
      <c r="D1008" s="6" t="s">
        <v>22</v>
      </c>
      <c r="E1008" s="6" t="s">
        <v>28</v>
      </c>
      <c r="F1008" s="6" t="str">
        <f>IF(E1008="","Unknown",E1008)</f>
        <v>Mobile</v>
      </c>
      <c r="G1008" s="6" t="s">
        <v>33</v>
      </c>
      <c r="H1008" s="6" t="str">
        <f>IF(G1008="","Unknown",G1008)</f>
        <v>Paid Search</v>
      </c>
      <c r="I1008" s="6" t="s">
        <v>34</v>
      </c>
      <c r="J1008" s="6">
        <v>1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f>IF(O1008&gt;0,1,0)</f>
        <v>0</v>
      </c>
      <c r="Q1008" s="6">
        <v>0</v>
      </c>
      <c r="S1008" s="6">
        <v>68.900000000000006</v>
      </c>
      <c r="T1008" s="6">
        <f>IF(S1008="",MEDIAN($S$2:$S$1409),S1008)</f>
        <v>68.900000000000006</v>
      </c>
    </row>
    <row r="1009" spans="1:20" ht="15" customHeight="1">
      <c r="A1009" s="6" t="s">
        <v>1044</v>
      </c>
      <c r="B1009" s="7">
        <v>45706</v>
      </c>
      <c r="C1009" s="6" t="s">
        <v>727</v>
      </c>
      <c r="D1009" s="6" t="s">
        <v>27</v>
      </c>
      <c r="E1009" s="6" t="s">
        <v>23</v>
      </c>
      <c r="F1009" s="6" t="str">
        <f>IF(E1009="","Unknown",E1009)</f>
        <v>Desktop</v>
      </c>
      <c r="G1009" s="6" t="s">
        <v>29</v>
      </c>
      <c r="H1009" s="6" t="str">
        <f>IF(G1009="","Unknown",G1009)</f>
        <v>Organic</v>
      </c>
      <c r="I1009" s="6" t="s">
        <v>30</v>
      </c>
      <c r="J1009" s="6">
        <v>1</v>
      </c>
      <c r="K1009" s="6">
        <v>0</v>
      </c>
      <c r="L1009" s="6">
        <v>0</v>
      </c>
      <c r="M1009" s="6">
        <v>0</v>
      </c>
      <c r="N1009" s="6">
        <v>0</v>
      </c>
      <c r="O1009" s="6">
        <v>0</v>
      </c>
      <c r="P1009" s="6">
        <f>IF(O1009&gt;0,1,0)</f>
        <v>0</v>
      </c>
      <c r="Q1009" s="6">
        <v>0</v>
      </c>
      <c r="S1009" s="6">
        <v>66</v>
      </c>
      <c r="T1009" s="6">
        <f>IF(S1009="",MEDIAN($S$2:$S$1409),S1009)</f>
        <v>66</v>
      </c>
    </row>
    <row r="1010" spans="1:20" ht="15" customHeight="1">
      <c r="A1010" s="6" t="s">
        <v>1045</v>
      </c>
      <c r="B1010" s="7">
        <v>45799</v>
      </c>
      <c r="C1010" s="6" t="s">
        <v>727</v>
      </c>
      <c r="D1010" s="6" t="s">
        <v>27</v>
      </c>
      <c r="E1010" s="6" t="s">
        <v>23</v>
      </c>
      <c r="F1010" s="6" t="str">
        <f>IF(E1010="","Unknown",E1010)</f>
        <v>Desktop</v>
      </c>
      <c r="G1010" s="6" t="s">
        <v>43</v>
      </c>
      <c r="H1010" s="6" t="str">
        <f>IF(G1010="","Unknown",G1010)</f>
        <v>Referral</v>
      </c>
      <c r="I1010" s="6" t="s">
        <v>25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  <c r="O1010" s="6">
        <v>0</v>
      </c>
      <c r="P1010" s="6">
        <f>IF(O1010&gt;0,1,0)</f>
        <v>0</v>
      </c>
      <c r="Q1010" s="6">
        <v>0</v>
      </c>
      <c r="S1010" s="6">
        <v>63.1</v>
      </c>
      <c r="T1010" s="6">
        <f>IF(S1010="",MEDIAN($S$2:$S$1409),S1010)</f>
        <v>63.1</v>
      </c>
    </row>
    <row r="1011" spans="1:20" ht="15" customHeight="1">
      <c r="A1011" s="6" t="s">
        <v>1046</v>
      </c>
      <c r="B1011" s="7">
        <v>45798</v>
      </c>
      <c r="C1011" s="6" t="s">
        <v>727</v>
      </c>
      <c r="D1011" s="6" t="s">
        <v>36</v>
      </c>
      <c r="E1011" s="6" t="s">
        <v>23</v>
      </c>
      <c r="F1011" s="6" t="str">
        <f>IF(E1011="","Unknown",E1011)</f>
        <v>Desktop</v>
      </c>
      <c r="G1011" s="6" t="s">
        <v>29</v>
      </c>
      <c r="H1011" s="6" t="str">
        <f>IF(G1011="","Unknown",G1011)</f>
        <v>Organic</v>
      </c>
      <c r="I1011" s="6" t="s">
        <v>30</v>
      </c>
      <c r="J1011" s="6">
        <v>0</v>
      </c>
      <c r="K1011" s="6">
        <v>0</v>
      </c>
      <c r="L1011" s="6">
        <v>0</v>
      </c>
      <c r="M1011" s="6">
        <v>0</v>
      </c>
      <c r="N1011" s="6">
        <v>0</v>
      </c>
      <c r="O1011" s="6">
        <v>0</v>
      </c>
      <c r="P1011" s="6">
        <f>IF(O1011&gt;0,1,0)</f>
        <v>0</v>
      </c>
      <c r="Q1011" s="6">
        <v>0</v>
      </c>
      <c r="S1011" s="6">
        <v>56</v>
      </c>
      <c r="T1011" s="6">
        <f>IF(S1011="",MEDIAN($S$2:$S$1409),S1011)</f>
        <v>56</v>
      </c>
    </row>
    <row r="1012" spans="1:20" ht="15" customHeight="1">
      <c r="A1012" s="6" t="s">
        <v>1047</v>
      </c>
      <c r="B1012" s="7">
        <v>45757</v>
      </c>
      <c r="C1012" s="6" t="s">
        <v>727</v>
      </c>
      <c r="D1012" s="6" t="s">
        <v>32</v>
      </c>
      <c r="E1012" s="6" t="s">
        <v>23</v>
      </c>
      <c r="F1012" s="6" t="str">
        <f>IF(E1012="","Unknown",E1012)</f>
        <v>Desktop</v>
      </c>
      <c r="G1012" s="6" t="s">
        <v>29</v>
      </c>
      <c r="H1012" s="6" t="str">
        <f>IF(G1012="","Unknown",G1012)</f>
        <v>Organic</v>
      </c>
      <c r="I1012" s="6" t="s">
        <v>30</v>
      </c>
      <c r="J1012" s="6">
        <v>1</v>
      </c>
      <c r="K1012" s="6">
        <v>0</v>
      </c>
      <c r="L1012" s="6">
        <v>0</v>
      </c>
      <c r="M1012" s="6">
        <v>0</v>
      </c>
      <c r="N1012" s="6">
        <v>0</v>
      </c>
      <c r="O1012" s="6">
        <v>1</v>
      </c>
      <c r="P1012" s="6">
        <f>IF(O1012&gt;0,1,0)</f>
        <v>1</v>
      </c>
      <c r="Q1012" s="6">
        <v>0</v>
      </c>
      <c r="S1012" s="6">
        <v>65.7</v>
      </c>
      <c r="T1012" s="6">
        <f>IF(S1012="",MEDIAN($S$2:$S$1409),S1012)</f>
        <v>65.7</v>
      </c>
    </row>
    <row r="1013" spans="1:20" ht="15" customHeight="1">
      <c r="A1013" s="6" t="s">
        <v>1048</v>
      </c>
      <c r="B1013" s="7">
        <v>45664</v>
      </c>
      <c r="C1013" s="6" t="s">
        <v>727</v>
      </c>
      <c r="D1013" s="6" t="s">
        <v>22</v>
      </c>
      <c r="E1013" s="6" t="s">
        <v>23</v>
      </c>
      <c r="F1013" s="6" t="str">
        <f>IF(E1013="","Unknown",E1013)</f>
        <v>Desktop</v>
      </c>
      <c r="G1013" s="6" t="s">
        <v>29</v>
      </c>
      <c r="H1013" s="6" t="str">
        <f>IF(G1013="","Unknown",G1013)</f>
        <v>Organic</v>
      </c>
      <c r="I1013" s="6" t="s">
        <v>34</v>
      </c>
      <c r="J1013" s="6">
        <v>1</v>
      </c>
      <c r="K1013" s="6">
        <v>1</v>
      </c>
      <c r="L1013" s="6">
        <v>1</v>
      </c>
      <c r="M1013" s="6">
        <v>1</v>
      </c>
      <c r="N1013" s="6">
        <v>1938.31</v>
      </c>
      <c r="O1013" s="6">
        <v>1</v>
      </c>
      <c r="P1013" s="6">
        <f>IF(O1013&gt;0,1,0)</f>
        <v>1</v>
      </c>
      <c r="Q1013" s="6">
        <v>0</v>
      </c>
      <c r="R1013" s="6">
        <v>9</v>
      </c>
      <c r="S1013" s="6">
        <v>60.9</v>
      </c>
      <c r="T1013" s="6">
        <f>IF(S1013="",MEDIAN($S$2:$S$1409),S1013)</f>
        <v>60.9</v>
      </c>
    </row>
    <row r="1014" spans="1:20" ht="15" customHeight="1">
      <c r="A1014" s="6" t="s">
        <v>1049</v>
      </c>
      <c r="B1014" s="7">
        <v>45691</v>
      </c>
      <c r="C1014" s="6" t="s">
        <v>727</v>
      </c>
      <c r="D1014" s="6" t="s">
        <v>36</v>
      </c>
      <c r="E1014" s="6" t="s">
        <v>23</v>
      </c>
      <c r="F1014" s="6" t="str">
        <f>IF(E1014="","Unknown",E1014)</f>
        <v>Desktop</v>
      </c>
      <c r="G1014" s="6" t="s">
        <v>45</v>
      </c>
      <c r="H1014" s="6" t="str">
        <f>IF(G1014="","Unknown",G1014)</f>
        <v>Social</v>
      </c>
      <c r="I1014" s="6" t="s">
        <v>30</v>
      </c>
      <c r="J1014" s="6">
        <v>0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f>IF(O1014&gt;0,1,0)</f>
        <v>0</v>
      </c>
      <c r="Q1014" s="6">
        <v>0</v>
      </c>
      <c r="S1014" s="6">
        <v>45.5</v>
      </c>
      <c r="T1014" s="6">
        <f>IF(S1014="",MEDIAN($S$2:$S$1409),S1014)</f>
        <v>45.5</v>
      </c>
    </row>
    <row r="1015" spans="1:20" ht="15" customHeight="1">
      <c r="A1015" s="6" t="s">
        <v>1050</v>
      </c>
      <c r="B1015" s="7">
        <v>45795</v>
      </c>
      <c r="C1015" s="6" t="s">
        <v>727</v>
      </c>
      <c r="D1015" s="6" t="s">
        <v>22</v>
      </c>
      <c r="E1015" s="6" t="s">
        <v>28</v>
      </c>
      <c r="F1015" s="6" t="str">
        <f>IF(E1015="","Unknown",E1015)</f>
        <v>Mobile</v>
      </c>
      <c r="G1015" s="6" t="s">
        <v>33</v>
      </c>
      <c r="H1015" s="6" t="str">
        <f>IF(G1015="","Unknown",G1015)</f>
        <v>Paid Search</v>
      </c>
      <c r="I1015" s="6" t="s">
        <v>30</v>
      </c>
      <c r="J1015" s="6">
        <v>1</v>
      </c>
      <c r="K1015" s="6"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f>IF(O1015&gt;0,1,0)</f>
        <v>0</v>
      </c>
      <c r="Q1015" s="6">
        <v>0</v>
      </c>
      <c r="S1015" s="6">
        <v>50</v>
      </c>
      <c r="T1015" s="6">
        <f>IF(S1015="",MEDIAN($S$2:$S$1409),S1015)</f>
        <v>50</v>
      </c>
    </row>
    <row r="1016" spans="1:20" ht="15" customHeight="1">
      <c r="A1016" s="6" t="s">
        <v>1051</v>
      </c>
      <c r="B1016" s="7">
        <v>45688</v>
      </c>
      <c r="C1016" s="6" t="s">
        <v>727</v>
      </c>
      <c r="D1016" s="6" t="s">
        <v>22</v>
      </c>
      <c r="E1016" s="6" t="s">
        <v>28</v>
      </c>
      <c r="F1016" s="6" t="str">
        <f>IF(E1016="","Unknown",E1016)</f>
        <v>Mobile</v>
      </c>
      <c r="G1016" s="6" t="s">
        <v>43</v>
      </c>
      <c r="H1016" s="6" t="str">
        <f>IF(G1016="","Unknown",G1016)</f>
        <v>Referral</v>
      </c>
      <c r="I1016" s="6" t="s">
        <v>30</v>
      </c>
      <c r="J1016" s="6">
        <v>1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f>IF(O1016&gt;0,1,0)</f>
        <v>0</v>
      </c>
      <c r="Q1016" s="6">
        <v>0</v>
      </c>
      <c r="S1016" s="6">
        <v>72.099999999999994</v>
      </c>
      <c r="T1016" s="6">
        <f>IF(S1016="",MEDIAN($S$2:$S$1409),S1016)</f>
        <v>72.099999999999994</v>
      </c>
    </row>
    <row r="1017" spans="1:20" ht="15" customHeight="1">
      <c r="A1017" s="6" t="s">
        <v>1052</v>
      </c>
      <c r="B1017" s="7">
        <v>45673</v>
      </c>
      <c r="C1017" s="6" t="s">
        <v>727</v>
      </c>
      <c r="D1017" s="6" t="s">
        <v>36</v>
      </c>
      <c r="E1017" s="6" t="s">
        <v>23</v>
      </c>
      <c r="F1017" s="6" t="str">
        <f>IF(E1017="","Unknown",E1017)</f>
        <v>Desktop</v>
      </c>
      <c r="G1017" s="6" t="s">
        <v>29</v>
      </c>
      <c r="H1017" s="6" t="str">
        <f>IF(G1017="","Unknown",G1017)</f>
        <v>Organic</v>
      </c>
      <c r="I1017" s="6" t="s">
        <v>25</v>
      </c>
      <c r="J1017" s="6">
        <v>1</v>
      </c>
      <c r="K1017" s="6">
        <v>0</v>
      </c>
      <c r="L1017" s="6">
        <v>0</v>
      </c>
      <c r="M1017" s="6">
        <v>0</v>
      </c>
      <c r="N1017" s="6">
        <v>0</v>
      </c>
      <c r="O1017" s="6">
        <v>0</v>
      </c>
      <c r="P1017" s="6">
        <f>IF(O1017&gt;0,1,0)</f>
        <v>0</v>
      </c>
      <c r="Q1017" s="6">
        <v>0</v>
      </c>
      <c r="S1017" s="6">
        <v>76.3</v>
      </c>
      <c r="T1017" s="6">
        <f>IF(S1017="",MEDIAN($S$2:$S$1409),S1017)</f>
        <v>76.3</v>
      </c>
    </row>
    <row r="1018" spans="1:20" ht="15" customHeight="1">
      <c r="A1018" s="6" t="s">
        <v>1053</v>
      </c>
      <c r="B1018" s="7">
        <v>45791</v>
      </c>
      <c r="C1018" s="6" t="s">
        <v>727</v>
      </c>
      <c r="D1018" s="6" t="s">
        <v>32</v>
      </c>
      <c r="E1018" s="6" t="s">
        <v>28</v>
      </c>
      <c r="F1018" s="6" t="str">
        <f>IF(E1018="","Unknown",E1018)</f>
        <v>Mobile</v>
      </c>
      <c r="G1018" s="6" t="s">
        <v>33</v>
      </c>
      <c r="H1018" s="6" t="str">
        <f>IF(G1018="","Unknown",G1018)</f>
        <v>Paid Search</v>
      </c>
      <c r="I1018" s="6" t="s">
        <v>25</v>
      </c>
      <c r="J1018" s="6">
        <v>1</v>
      </c>
      <c r="K1018" s="6">
        <v>1</v>
      </c>
      <c r="L1018" s="6">
        <v>0</v>
      </c>
      <c r="M1018" s="6">
        <v>0</v>
      </c>
      <c r="N1018" s="6">
        <v>0</v>
      </c>
      <c r="O1018" s="6">
        <v>1</v>
      </c>
      <c r="P1018" s="6">
        <f>IF(O1018&gt;0,1,0)</f>
        <v>1</v>
      </c>
      <c r="Q1018" s="6">
        <v>0</v>
      </c>
      <c r="S1018" s="6">
        <v>54.8</v>
      </c>
      <c r="T1018" s="6">
        <f>IF(S1018="",MEDIAN($S$2:$S$1409),S1018)</f>
        <v>54.8</v>
      </c>
    </row>
    <row r="1019" spans="1:20" ht="15" customHeight="1">
      <c r="A1019" s="6" t="s">
        <v>1054</v>
      </c>
      <c r="B1019" s="7">
        <v>45748</v>
      </c>
      <c r="C1019" s="6" t="s">
        <v>727</v>
      </c>
      <c r="D1019" s="6" t="s">
        <v>36</v>
      </c>
      <c r="E1019" s="6" t="s">
        <v>28</v>
      </c>
      <c r="F1019" s="6" t="str">
        <f>IF(E1019="","Unknown",E1019)</f>
        <v>Mobile</v>
      </c>
      <c r="G1019" s="6"/>
      <c r="H1019" s="6" t="str">
        <f>IF(G1019="","Unknown",G1019)</f>
        <v>Unknown</v>
      </c>
      <c r="I1019" s="6" t="s">
        <v>25</v>
      </c>
      <c r="J1019" s="6">
        <v>1</v>
      </c>
      <c r="K1019" s="6">
        <v>0</v>
      </c>
      <c r="L1019" s="6">
        <v>0</v>
      </c>
      <c r="M1019" s="6">
        <v>0</v>
      </c>
      <c r="N1019" s="6">
        <v>0</v>
      </c>
      <c r="O1019" s="6">
        <v>0</v>
      </c>
      <c r="P1019" s="6">
        <f>IF(O1019&gt;0,1,0)</f>
        <v>0</v>
      </c>
      <c r="Q1019" s="6">
        <v>0</v>
      </c>
      <c r="S1019" s="6">
        <v>63.6</v>
      </c>
      <c r="T1019" s="6">
        <f>IF(S1019="",MEDIAN($S$2:$S$1409),S1019)</f>
        <v>63.6</v>
      </c>
    </row>
    <row r="1020" spans="1:20" ht="15" customHeight="1">
      <c r="A1020" s="6" t="s">
        <v>1055</v>
      </c>
      <c r="B1020" s="7">
        <v>45770</v>
      </c>
      <c r="C1020" s="6" t="s">
        <v>727</v>
      </c>
      <c r="D1020" s="6" t="s">
        <v>36</v>
      </c>
      <c r="E1020" s="6" t="s">
        <v>28</v>
      </c>
      <c r="F1020" s="6" t="str">
        <f>IF(E1020="","Unknown",E1020)</f>
        <v>Mobile</v>
      </c>
      <c r="G1020" s="6" t="s">
        <v>29</v>
      </c>
      <c r="H1020" s="6" t="str">
        <f>IF(G1020="","Unknown",G1020)</f>
        <v>Organic</v>
      </c>
      <c r="I1020" s="6" t="s">
        <v>30</v>
      </c>
      <c r="J1020" s="6">
        <v>1</v>
      </c>
      <c r="K1020" s="6">
        <v>0</v>
      </c>
      <c r="L1020" s="6">
        <v>0</v>
      </c>
      <c r="M1020" s="6">
        <v>0</v>
      </c>
      <c r="N1020" s="6">
        <v>0</v>
      </c>
      <c r="O1020" s="6">
        <v>0</v>
      </c>
      <c r="P1020" s="6">
        <f>IF(O1020&gt;0,1,0)</f>
        <v>0</v>
      </c>
      <c r="Q1020" s="6">
        <v>0</v>
      </c>
      <c r="S1020" s="6">
        <v>68.8</v>
      </c>
      <c r="T1020" s="6">
        <f>IF(S1020="",MEDIAN($S$2:$S$1409),S1020)</f>
        <v>68.8</v>
      </c>
    </row>
    <row r="1021" spans="1:20" ht="15" customHeight="1">
      <c r="A1021" s="6" t="s">
        <v>1056</v>
      </c>
      <c r="B1021" s="7">
        <v>45718</v>
      </c>
      <c r="C1021" s="6" t="s">
        <v>727</v>
      </c>
      <c r="D1021" s="6" t="s">
        <v>36</v>
      </c>
      <c r="E1021" s="6" t="s">
        <v>23</v>
      </c>
      <c r="F1021" s="6" t="str">
        <f>IF(E1021="","Unknown",E1021)</f>
        <v>Desktop</v>
      </c>
      <c r="G1021" s="6" t="s">
        <v>33</v>
      </c>
      <c r="H1021" s="6" t="str">
        <f>IF(G1021="","Unknown",G1021)</f>
        <v>Paid Search</v>
      </c>
      <c r="I1021" s="6" t="s">
        <v>25</v>
      </c>
      <c r="J1021" s="6">
        <v>1</v>
      </c>
      <c r="K1021" s="6">
        <v>0</v>
      </c>
      <c r="L1021" s="6">
        <v>0</v>
      </c>
      <c r="M1021" s="6">
        <v>0</v>
      </c>
      <c r="N1021" s="6">
        <v>0</v>
      </c>
      <c r="O1021" s="6">
        <v>0</v>
      </c>
      <c r="P1021" s="6">
        <f>IF(O1021&gt;0,1,0)</f>
        <v>0</v>
      </c>
      <c r="Q1021" s="6">
        <v>0</v>
      </c>
      <c r="S1021" s="6">
        <v>63.2</v>
      </c>
      <c r="T1021" s="6">
        <f>IF(S1021="",MEDIAN($S$2:$S$1409),S1021)</f>
        <v>63.2</v>
      </c>
    </row>
    <row r="1022" spans="1:20" ht="15" customHeight="1">
      <c r="A1022" s="6" t="s">
        <v>1057</v>
      </c>
      <c r="B1022" s="7">
        <v>45659</v>
      </c>
      <c r="C1022" s="6" t="s">
        <v>727</v>
      </c>
      <c r="D1022" s="6" t="s">
        <v>32</v>
      </c>
      <c r="E1022" s="6" t="s">
        <v>28</v>
      </c>
      <c r="F1022" s="6" t="str">
        <f>IF(E1022="","Unknown",E1022)</f>
        <v>Mobile</v>
      </c>
      <c r="G1022" s="6" t="s">
        <v>33</v>
      </c>
      <c r="H1022" s="6" t="str">
        <f>IF(G1022="","Unknown",G1022)</f>
        <v>Paid Search</v>
      </c>
      <c r="I1022" s="6" t="s">
        <v>25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f>IF(O1022&gt;0,1,0)</f>
        <v>0</v>
      </c>
      <c r="Q1022" s="6">
        <v>0</v>
      </c>
      <c r="S1022" s="6">
        <v>45</v>
      </c>
      <c r="T1022" s="6">
        <f>IF(S1022="",MEDIAN($S$2:$S$1409),S1022)</f>
        <v>45</v>
      </c>
    </row>
    <row r="1023" spans="1:20" ht="15" customHeight="1">
      <c r="A1023" s="6" t="s">
        <v>1058</v>
      </c>
      <c r="B1023" s="7">
        <v>45781</v>
      </c>
      <c r="C1023" s="6" t="s">
        <v>727</v>
      </c>
      <c r="D1023" s="6" t="s">
        <v>36</v>
      </c>
      <c r="E1023" s="6" t="s">
        <v>28</v>
      </c>
      <c r="F1023" s="6" t="str">
        <f>IF(E1023="","Unknown",E1023)</f>
        <v>Mobile</v>
      </c>
      <c r="G1023" s="6" t="s">
        <v>29</v>
      </c>
      <c r="H1023" s="6" t="str">
        <f>IF(G1023="","Unknown",G1023)</f>
        <v>Organic</v>
      </c>
      <c r="I1023" s="6" t="s">
        <v>30</v>
      </c>
      <c r="J1023" s="6">
        <v>1</v>
      </c>
      <c r="K1023" s="6">
        <v>0</v>
      </c>
      <c r="L1023" s="6">
        <v>0</v>
      </c>
      <c r="M1023" s="6">
        <v>0</v>
      </c>
      <c r="N1023" s="6">
        <v>0</v>
      </c>
      <c r="O1023" s="6">
        <v>0</v>
      </c>
      <c r="P1023" s="6">
        <f>IF(O1023&gt;0,1,0)</f>
        <v>0</v>
      </c>
      <c r="Q1023" s="6">
        <v>0</v>
      </c>
      <c r="S1023" s="6">
        <v>77.400000000000006</v>
      </c>
      <c r="T1023" s="6">
        <f>IF(S1023="",MEDIAN($S$2:$S$1409),S1023)</f>
        <v>77.400000000000006</v>
      </c>
    </row>
    <row r="1024" spans="1:20" ht="15" customHeight="1">
      <c r="A1024" s="6" t="s">
        <v>1059</v>
      </c>
      <c r="B1024" s="7">
        <v>45673</v>
      </c>
      <c r="C1024" s="6" t="s">
        <v>727</v>
      </c>
      <c r="D1024" s="6" t="s">
        <v>32</v>
      </c>
      <c r="E1024" s="6" t="s">
        <v>23</v>
      </c>
      <c r="F1024" s="6" t="str">
        <f>IF(E1024="","Unknown",E1024)</f>
        <v>Desktop</v>
      </c>
      <c r="G1024" s="6" t="s">
        <v>33</v>
      </c>
      <c r="H1024" s="6" t="str">
        <f>IF(G1024="","Unknown",G1024)</f>
        <v>Paid Search</v>
      </c>
      <c r="I1024" s="6" t="s">
        <v>25</v>
      </c>
      <c r="J1024" s="6">
        <v>0</v>
      </c>
      <c r="K1024" s="6">
        <v>0</v>
      </c>
      <c r="L1024" s="6">
        <v>0</v>
      </c>
      <c r="M1024" s="6">
        <v>0</v>
      </c>
      <c r="N1024" s="6">
        <v>0</v>
      </c>
      <c r="O1024" s="6">
        <v>0</v>
      </c>
      <c r="P1024" s="6">
        <f>IF(O1024&gt;0,1,0)</f>
        <v>0</v>
      </c>
      <c r="Q1024" s="6">
        <v>0</v>
      </c>
      <c r="S1024" s="6">
        <v>53.1</v>
      </c>
      <c r="T1024" s="6">
        <f>IF(S1024="",MEDIAN($S$2:$S$1409),S1024)</f>
        <v>53.1</v>
      </c>
    </row>
    <row r="1025" spans="1:20" ht="15" customHeight="1">
      <c r="A1025" s="6" t="s">
        <v>1060</v>
      </c>
      <c r="B1025" s="7">
        <v>45699</v>
      </c>
      <c r="C1025" s="6" t="s">
        <v>727</v>
      </c>
      <c r="D1025" s="6" t="s">
        <v>27</v>
      </c>
      <c r="E1025" s="6" t="s">
        <v>38</v>
      </c>
      <c r="F1025" s="6" t="str">
        <f>IF(E1025="","Unknown",E1025)</f>
        <v>Tablet</v>
      </c>
      <c r="G1025" s="6" t="s">
        <v>33</v>
      </c>
      <c r="H1025" s="6" t="str">
        <f>IF(G1025="","Unknown",G1025)</f>
        <v>Paid Search</v>
      </c>
      <c r="I1025" s="6" t="s">
        <v>34</v>
      </c>
      <c r="J1025" s="6">
        <v>0</v>
      </c>
      <c r="K1025" s="6"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f>IF(O1025&gt;0,1,0)</f>
        <v>0</v>
      </c>
      <c r="Q1025" s="6">
        <v>0</v>
      </c>
      <c r="S1025" s="6">
        <v>74</v>
      </c>
      <c r="T1025" s="6">
        <f>IF(S1025="",MEDIAN($S$2:$S$1409),S1025)</f>
        <v>74</v>
      </c>
    </row>
    <row r="1026" spans="1:20" ht="15" customHeight="1">
      <c r="A1026" s="6" t="s">
        <v>1061</v>
      </c>
      <c r="B1026" s="7">
        <v>45750</v>
      </c>
      <c r="C1026" s="6" t="s">
        <v>727</v>
      </c>
      <c r="D1026" s="6" t="s">
        <v>22</v>
      </c>
      <c r="E1026" s="6" t="s">
        <v>28</v>
      </c>
      <c r="F1026" s="6" t="str">
        <f>IF(E1026="","Unknown",E1026)</f>
        <v>Mobile</v>
      </c>
      <c r="G1026" s="6" t="s">
        <v>45</v>
      </c>
      <c r="H1026" s="6" t="str">
        <f>IF(G1026="","Unknown",G1026)</f>
        <v>Social</v>
      </c>
      <c r="I1026" s="6" t="s">
        <v>34</v>
      </c>
      <c r="J1026" s="6">
        <v>1</v>
      </c>
      <c r="K1026" s="6">
        <v>1</v>
      </c>
      <c r="L1026" s="6">
        <v>1</v>
      </c>
      <c r="M1026" s="6">
        <v>1</v>
      </c>
      <c r="N1026" s="6">
        <v>1906.23</v>
      </c>
      <c r="O1026" s="6">
        <v>0</v>
      </c>
      <c r="P1026" s="6">
        <f>IF(O1026&gt;0,1,0)</f>
        <v>0</v>
      </c>
      <c r="Q1026" s="6">
        <v>0</v>
      </c>
      <c r="R1026" s="6">
        <v>4</v>
      </c>
      <c r="S1026" s="6">
        <v>84.6</v>
      </c>
      <c r="T1026" s="6">
        <f>IF(S1026="",MEDIAN($S$2:$S$1409),S1026)</f>
        <v>84.6</v>
      </c>
    </row>
    <row r="1027" spans="1:20" ht="15" customHeight="1">
      <c r="A1027" s="6" t="s">
        <v>1062</v>
      </c>
      <c r="B1027" s="7">
        <v>45742</v>
      </c>
      <c r="C1027" s="6" t="s">
        <v>727</v>
      </c>
      <c r="D1027" s="6" t="s">
        <v>32</v>
      </c>
      <c r="E1027" s="6" t="s">
        <v>28</v>
      </c>
      <c r="F1027" s="6" t="str">
        <f>IF(E1027="","Unknown",E1027)</f>
        <v>Mobile</v>
      </c>
      <c r="G1027" s="6" t="s">
        <v>43</v>
      </c>
      <c r="H1027" s="6" t="str">
        <f>IF(G1027="","Unknown",G1027)</f>
        <v>Referral</v>
      </c>
      <c r="I1027" s="6" t="s">
        <v>30</v>
      </c>
      <c r="J1027" s="6">
        <v>1</v>
      </c>
      <c r="K1027" s="6">
        <v>0</v>
      </c>
      <c r="L1027" s="6">
        <v>0</v>
      </c>
      <c r="M1027" s="6">
        <v>0</v>
      </c>
      <c r="N1027" s="6">
        <v>0</v>
      </c>
      <c r="O1027" s="6">
        <v>0</v>
      </c>
      <c r="P1027" s="6">
        <f>IF(O1027&gt;0,1,0)</f>
        <v>0</v>
      </c>
      <c r="Q1027" s="6">
        <v>0</v>
      </c>
      <c r="S1027" s="6">
        <v>57</v>
      </c>
      <c r="T1027" s="6">
        <f>IF(S1027="",MEDIAN($S$2:$S$1409),S1027)</f>
        <v>57</v>
      </c>
    </row>
    <row r="1028" spans="1:20" ht="15" customHeight="1">
      <c r="A1028" s="6" t="s">
        <v>1063</v>
      </c>
      <c r="B1028" s="7">
        <v>45793</v>
      </c>
      <c r="C1028" s="6" t="s">
        <v>727</v>
      </c>
      <c r="D1028" s="6" t="s">
        <v>36</v>
      </c>
      <c r="E1028" s="6" t="s">
        <v>28</v>
      </c>
      <c r="F1028" s="6" t="str">
        <f>IF(E1028="","Unknown",E1028)</f>
        <v>Mobile</v>
      </c>
      <c r="G1028" s="6" t="s">
        <v>24</v>
      </c>
      <c r="H1028" s="6" t="str">
        <f>IF(G1028="","Unknown",G1028)</f>
        <v>Email</v>
      </c>
      <c r="I1028" s="6" t="s">
        <v>34</v>
      </c>
      <c r="J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f>IF(O1028&gt;0,1,0)</f>
        <v>0</v>
      </c>
      <c r="Q1028" s="6">
        <v>0</v>
      </c>
      <c r="S1028" s="6">
        <v>46.3</v>
      </c>
      <c r="T1028" s="6">
        <f>IF(S1028="",MEDIAN($S$2:$S$1409),S1028)</f>
        <v>46.3</v>
      </c>
    </row>
    <row r="1029" spans="1:20" ht="15" customHeight="1">
      <c r="A1029" s="6" t="s">
        <v>1064</v>
      </c>
      <c r="B1029" s="7">
        <v>45767</v>
      </c>
      <c r="C1029" s="6" t="s">
        <v>727</v>
      </c>
      <c r="D1029" s="6" t="s">
        <v>27</v>
      </c>
      <c r="E1029" s="6" t="s">
        <v>28</v>
      </c>
      <c r="F1029" s="6" t="str">
        <f>IF(E1029="","Unknown",E1029)</f>
        <v>Mobile</v>
      </c>
      <c r="G1029" s="6" t="s">
        <v>45</v>
      </c>
      <c r="H1029" s="6" t="str">
        <f>IF(G1029="","Unknown",G1029)</f>
        <v>Social</v>
      </c>
      <c r="I1029" s="6" t="s">
        <v>30</v>
      </c>
      <c r="J1029" s="6">
        <v>0</v>
      </c>
      <c r="K1029" s="6">
        <v>0</v>
      </c>
      <c r="L1029" s="6">
        <v>0</v>
      </c>
      <c r="M1029" s="6">
        <v>0</v>
      </c>
      <c r="N1029" s="6">
        <v>0</v>
      </c>
      <c r="O1029" s="6">
        <v>1</v>
      </c>
      <c r="P1029" s="6">
        <f>IF(O1029&gt;0,1,0)</f>
        <v>1</v>
      </c>
      <c r="Q1029" s="6">
        <v>0</v>
      </c>
      <c r="S1029" s="6">
        <v>64.400000000000006</v>
      </c>
      <c r="T1029" s="6">
        <f>IF(S1029="",MEDIAN($S$2:$S$1409),S1029)</f>
        <v>64.400000000000006</v>
      </c>
    </row>
    <row r="1030" spans="1:20" ht="15" customHeight="1">
      <c r="A1030" s="6" t="s">
        <v>1065</v>
      </c>
      <c r="B1030" s="7">
        <v>45762</v>
      </c>
      <c r="C1030" s="6" t="s">
        <v>727</v>
      </c>
      <c r="D1030" s="6" t="s">
        <v>27</v>
      </c>
      <c r="E1030" s="6" t="s">
        <v>28</v>
      </c>
      <c r="F1030" s="6" t="str">
        <f>IF(E1030="","Unknown",E1030)</f>
        <v>Mobile</v>
      </c>
      <c r="G1030" s="6" t="s">
        <v>33</v>
      </c>
      <c r="H1030" s="6" t="str">
        <f>IF(G1030="","Unknown",G1030)</f>
        <v>Paid Search</v>
      </c>
      <c r="I1030" s="6" t="s">
        <v>30</v>
      </c>
      <c r="J1030" s="6">
        <v>1</v>
      </c>
      <c r="K1030" s="6">
        <v>0</v>
      </c>
      <c r="L1030" s="6">
        <v>0</v>
      </c>
      <c r="M1030" s="6">
        <v>0</v>
      </c>
      <c r="N1030" s="6">
        <v>0</v>
      </c>
      <c r="O1030" s="6">
        <v>2</v>
      </c>
      <c r="P1030" s="6">
        <f>IF(O1030&gt;0,1,0)</f>
        <v>1</v>
      </c>
      <c r="Q1030" s="6">
        <v>0</v>
      </c>
      <c r="S1030" s="6">
        <v>61.9</v>
      </c>
      <c r="T1030" s="6">
        <f>IF(S1030="",MEDIAN($S$2:$S$1409),S1030)</f>
        <v>61.9</v>
      </c>
    </row>
    <row r="1031" spans="1:20" ht="15" customHeight="1">
      <c r="A1031" s="6" t="s">
        <v>1066</v>
      </c>
      <c r="B1031" s="7">
        <v>45681</v>
      </c>
      <c r="C1031" s="6" t="s">
        <v>727</v>
      </c>
      <c r="D1031" s="6" t="s">
        <v>22</v>
      </c>
      <c r="E1031" s="6" t="s">
        <v>28</v>
      </c>
      <c r="F1031" s="6" t="str">
        <f>IF(E1031="","Unknown",E1031)</f>
        <v>Mobile</v>
      </c>
      <c r="G1031" s="6" t="s">
        <v>29</v>
      </c>
      <c r="H1031" s="6" t="str">
        <f>IF(G1031="","Unknown",G1031)</f>
        <v>Organic</v>
      </c>
      <c r="I1031" s="6" t="s">
        <v>34</v>
      </c>
      <c r="J1031" s="6">
        <v>1</v>
      </c>
      <c r="K1031" s="6">
        <v>1</v>
      </c>
      <c r="L1031" s="6">
        <v>1</v>
      </c>
      <c r="M1031" s="6">
        <v>0</v>
      </c>
      <c r="N1031" s="6">
        <v>0</v>
      </c>
      <c r="O1031" s="6">
        <v>0</v>
      </c>
      <c r="P1031" s="6">
        <f>IF(O1031&gt;0,1,0)</f>
        <v>0</v>
      </c>
      <c r="Q1031" s="6">
        <v>0</v>
      </c>
      <c r="S1031" s="6">
        <v>93.7</v>
      </c>
      <c r="T1031" s="6">
        <f>IF(S1031="",MEDIAN($S$2:$S$1409),S1031)</f>
        <v>93.7</v>
      </c>
    </row>
    <row r="1032" spans="1:20" ht="15" customHeight="1">
      <c r="A1032" s="6" t="s">
        <v>1067</v>
      </c>
      <c r="B1032" s="7">
        <v>45758</v>
      </c>
      <c r="C1032" s="6" t="s">
        <v>727</v>
      </c>
      <c r="D1032" s="6" t="s">
        <v>36</v>
      </c>
      <c r="E1032" s="6" t="s">
        <v>28</v>
      </c>
      <c r="F1032" s="6" t="str">
        <f>IF(E1032="","Unknown",E1032)</f>
        <v>Mobile</v>
      </c>
      <c r="G1032" s="6" t="s">
        <v>43</v>
      </c>
      <c r="H1032" s="6" t="str">
        <f>IF(G1032="","Unknown",G1032)</f>
        <v>Referral</v>
      </c>
      <c r="I1032" s="6" t="s">
        <v>25</v>
      </c>
      <c r="J1032" s="6">
        <v>0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f>IF(O1032&gt;0,1,0)</f>
        <v>0</v>
      </c>
      <c r="Q1032" s="6">
        <v>0</v>
      </c>
      <c r="S1032" s="6">
        <v>61.6</v>
      </c>
      <c r="T1032" s="6">
        <f>IF(S1032="",MEDIAN($S$2:$S$1409),S1032)</f>
        <v>61.6</v>
      </c>
    </row>
    <row r="1033" spans="1:20" ht="15" customHeight="1">
      <c r="A1033" s="6" t="s">
        <v>1068</v>
      </c>
      <c r="B1033" s="7">
        <v>45796</v>
      </c>
      <c r="C1033" s="6" t="s">
        <v>727</v>
      </c>
      <c r="D1033" s="6" t="s">
        <v>22</v>
      </c>
      <c r="E1033" s="6" t="s">
        <v>28</v>
      </c>
      <c r="F1033" s="6" t="str">
        <f>IF(E1033="","Unknown",E1033)</f>
        <v>Mobile</v>
      </c>
      <c r="G1033" s="6" t="s">
        <v>33</v>
      </c>
      <c r="H1033" s="6" t="str">
        <f>IF(G1033="","Unknown",G1033)</f>
        <v>Paid Search</v>
      </c>
      <c r="I1033" s="6" t="s">
        <v>30</v>
      </c>
      <c r="J1033" s="6">
        <v>1</v>
      </c>
      <c r="K1033" s="6"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f>IF(O1033&gt;0,1,0)</f>
        <v>0</v>
      </c>
      <c r="Q1033" s="6">
        <v>0</v>
      </c>
      <c r="S1033" s="6">
        <v>72.2</v>
      </c>
      <c r="T1033" s="6">
        <f>IF(S1033="",MEDIAN($S$2:$S$1409),S1033)</f>
        <v>72.2</v>
      </c>
    </row>
    <row r="1034" spans="1:20" ht="15" customHeight="1">
      <c r="A1034" s="6" t="s">
        <v>1069</v>
      </c>
      <c r="B1034" s="7">
        <v>45671</v>
      </c>
      <c r="C1034" s="6" t="s">
        <v>727</v>
      </c>
      <c r="D1034" s="6" t="s">
        <v>22</v>
      </c>
      <c r="E1034" s="6" t="s">
        <v>28</v>
      </c>
      <c r="F1034" s="6" t="str">
        <f>IF(E1034="","Unknown",E1034)</f>
        <v>Mobile</v>
      </c>
      <c r="G1034" s="6" t="s">
        <v>29</v>
      </c>
      <c r="H1034" s="6" t="str">
        <f>IF(G1034="","Unknown",G1034)</f>
        <v>Organic</v>
      </c>
      <c r="I1034" s="6" t="s">
        <v>25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f>IF(O1034&gt;0,1,0)</f>
        <v>0</v>
      </c>
      <c r="Q1034" s="6">
        <v>0</v>
      </c>
      <c r="S1034" s="6">
        <v>69.5</v>
      </c>
      <c r="T1034" s="6">
        <f>IF(S1034="",MEDIAN($S$2:$S$1409),S1034)</f>
        <v>69.5</v>
      </c>
    </row>
    <row r="1035" spans="1:20" ht="15" customHeight="1">
      <c r="A1035" s="6" t="s">
        <v>1070</v>
      </c>
      <c r="B1035" s="7">
        <v>45716</v>
      </c>
      <c r="C1035" s="6" t="s">
        <v>727</v>
      </c>
      <c r="D1035" s="6" t="s">
        <v>32</v>
      </c>
      <c r="E1035" s="6" t="s">
        <v>23</v>
      </c>
      <c r="F1035" s="6" t="str">
        <f>IF(E1035="","Unknown",E1035)</f>
        <v>Desktop</v>
      </c>
      <c r="G1035" s="6" t="s">
        <v>29</v>
      </c>
      <c r="H1035" s="6" t="str">
        <f>IF(G1035="","Unknown",G1035)</f>
        <v>Organic</v>
      </c>
      <c r="I1035" s="6" t="s">
        <v>25</v>
      </c>
      <c r="J1035" s="6">
        <v>0</v>
      </c>
      <c r="K1035" s="6">
        <v>0</v>
      </c>
      <c r="L1035" s="6">
        <v>0</v>
      </c>
      <c r="M1035" s="6">
        <v>0</v>
      </c>
      <c r="N1035" s="6">
        <v>0</v>
      </c>
      <c r="O1035" s="6">
        <v>0</v>
      </c>
      <c r="P1035" s="6">
        <f>IF(O1035&gt;0,1,0)</f>
        <v>0</v>
      </c>
      <c r="Q1035" s="6">
        <v>0</v>
      </c>
      <c r="S1035" s="6">
        <v>59.7</v>
      </c>
      <c r="T1035" s="6">
        <f>IF(S1035="",MEDIAN($S$2:$S$1409),S1035)</f>
        <v>59.7</v>
      </c>
    </row>
    <row r="1036" spans="1:20" ht="15" customHeight="1">
      <c r="A1036" s="6" t="s">
        <v>1071</v>
      </c>
      <c r="B1036" s="7">
        <v>45795</v>
      </c>
      <c r="C1036" s="6" t="s">
        <v>727</v>
      </c>
      <c r="D1036" s="6" t="s">
        <v>32</v>
      </c>
      <c r="E1036" s="6" t="s">
        <v>38</v>
      </c>
      <c r="F1036" s="6" t="str">
        <f>IF(E1036="","Unknown",E1036)</f>
        <v>Tablet</v>
      </c>
      <c r="G1036" s="6" t="s">
        <v>33</v>
      </c>
      <c r="H1036" s="6" t="str">
        <f>IF(G1036="","Unknown",G1036)</f>
        <v>Paid Search</v>
      </c>
      <c r="I1036" s="6" t="s">
        <v>25</v>
      </c>
      <c r="J1036" s="6">
        <v>1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f>IF(O1036&gt;0,1,0)</f>
        <v>0</v>
      </c>
      <c r="Q1036" s="6">
        <v>0</v>
      </c>
      <c r="S1036" s="6">
        <v>73.900000000000006</v>
      </c>
      <c r="T1036" s="6">
        <f>IF(S1036="",MEDIAN($S$2:$S$1409),S1036)</f>
        <v>73.900000000000006</v>
      </c>
    </row>
    <row r="1037" spans="1:20" ht="15" customHeight="1">
      <c r="A1037" s="6" t="s">
        <v>1072</v>
      </c>
      <c r="B1037" s="7">
        <v>45661</v>
      </c>
      <c r="C1037" s="6" t="s">
        <v>727</v>
      </c>
      <c r="D1037" s="6" t="s">
        <v>22</v>
      </c>
      <c r="E1037" s="6" t="s">
        <v>28</v>
      </c>
      <c r="F1037" s="6" t="str">
        <f>IF(E1037="","Unknown",E1037)</f>
        <v>Mobile</v>
      </c>
      <c r="G1037" s="6" t="s">
        <v>45</v>
      </c>
      <c r="H1037" s="6" t="str">
        <f>IF(G1037="","Unknown",G1037)</f>
        <v>Social</v>
      </c>
      <c r="I1037" s="6" t="s">
        <v>30</v>
      </c>
      <c r="J1037" s="6">
        <v>0</v>
      </c>
      <c r="K1037" s="6"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f>IF(O1037&gt;0,1,0)</f>
        <v>0</v>
      </c>
      <c r="Q1037" s="6">
        <v>0</v>
      </c>
      <c r="S1037" s="6">
        <v>41.5</v>
      </c>
      <c r="T1037" s="6">
        <f>IF(S1037="",MEDIAN($S$2:$S$1409),S1037)</f>
        <v>41.5</v>
      </c>
    </row>
    <row r="1038" spans="1:20" ht="15" customHeight="1">
      <c r="A1038" s="6" t="s">
        <v>1073</v>
      </c>
      <c r="B1038" s="7">
        <v>45673</v>
      </c>
      <c r="C1038" s="6" t="s">
        <v>727</v>
      </c>
      <c r="D1038" s="6" t="s">
        <v>27</v>
      </c>
      <c r="E1038" s="6" t="s">
        <v>28</v>
      </c>
      <c r="F1038" s="6" t="str">
        <f>IF(E1038="","Unknown",E1038)</f>
        <v>Mobile</v>
      </c>
      <c r="G1038" s="6" t="s">
        <v>45</v>
      </c>
      <c r="H1038" s="6" t="str">
        <f>IF(G1038="","Unknown",G1038)</f>
        <v>Social</v>
      </c>
      <c r="I1038" s="6" t="s">
        <v>34</v>
      </c>
      <c r="J1038" s="6">
        <v>1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f>IF(O1038&gt;0,1,0)</f>
        <v>0</v>
      </c>
      <c r="Q1038" s="6">
        <v>0</v>
      </c>
      <c r="S1038" s="6">
        <v>82.8</v>
      </c>
      <c r="T1038" s="6">
        <f>IF(S1038="",MEDIAN($S$2:$S$1409),S1038)</f>
        <v>82.8</v>
      </c>
    </row>
    <row r="1039" spans="1:20" ht="15" customHeight="1">
      <c r="A1039" s="6" t="s">
        <v>1074</v>
      </c>
      <c r="B1039" s="7">
        <v>45730</v>
      </c>
      <c r="C1039" s="6" t="s">
        <v>727</v>
      </c>
      <c r="D1039" s="6" t="s">
        <v>27</v>
      </c>
      <c r="E1039" s="6" t="s">
        <v>28</v>
      </c>
      <c r="F1039" s="6" t="str">
        <f>IF(E1039="","Unknown",E1039)</f>
        <v>Mobile</v>
      </c>
      <c r="G1039" s="6" t="s">
        <v>45</v>
      </c>
      <c r="H1039" s="6" t="str">
        <f>IF(G1039="","Unknown",G1039)</f>
        <v>Social</v>
      </c>
      <c r="I1039" s="6" t="s">
        <v>34</v>
      </c>
      <c r="J1039" s="6">
        <v>1</v>
      </c>
      <c r="K1039" s="6">
        <v>0</v>
      </c>
      <c r="L1039" s="6">
        <v>0</v>
      </c>
      <c r="M1039" s="6">
        <v>0</v>
      </c>
      <c r="N1039" s="6">
        <v>0</v>
      </c>
      <c r="O1039" s="6">
        <v>3</v>
      </c>
      <c r="P1039" s="6">
        <f>IF(O1039&gt;0,1,0)</f>
        <v>1</v>
      </c>
      <c r="Q1039" s="6">
        <v>0</v>
      </c>
      <c r="S1039" s="6">
        <v>70.2</v>
      </c>
      <c r="T1039" s="6">
        <f>IF(S1039="",MEDIAN($S$2:$S$1409),S1039)</f>
        <v>70.2</v>
      </c>
    </row>
    <row r="1040" spans="1:20" ht="15" customHeight="1">
      <c r="A1040" s="6" t="s">
        <v>1075</v>
      </c>
      <c r="B1040" s="7">
        <v>45680</v>
      </c>
      <c r="C1040" s="6" t="s">
        <v>727</v>
      </c>
      <c r="D1040" s="6" t="s">
        <v>32</v>
      </c>
      <c r="E1040" s="6" t="s">
        <v>28</v>
      </c>
      <c r="F1040" s="6" t="str">
        <f>IF(E1040="","Unknown",E1040)</f>
        <v>Mobile</v>
      </c>
      <c r="G1040" s="6" t="s">
        <v>33</v>
      </c>
      <c r="H1040" s="6" t="str">
        <f>IF(G1040="","Unknown",G1040)</f>
        <v>Paid Search</v>
      </c>
      <c r="I1040" s="6" t="s">
        <v>25</v>
      </c>
      <c r="J1040" s="6">
        <v>1</v>
      </c>
      <c r="K1040" s="6">
        <v>0</v>
      </c>
      <c r="L1040" s="6">
        <v>0</v>
      </c>
      <c r="M1040" s="6">
        <v>0</v>
      </c>
      <c r="N1040" s="6">
        <v>0</v>
      </c>
      <c r="O1040" s="6">
        <v>1</v>
      </c>
      <c r="P1040" s="6">
        <f>IF(O1040&gt;0,1,0)</f>
        <v>1</v>
      </c>
      <c r="Q1040" s="6">
        <v>0</v>
      </c>
      <c r="S1040" s="6">
        <v>69.400000000000006</v>
      </c>
      <c r="T1040" s="6">
        <f>IF(S1040="",MEDIAN($S$2:$S$1409),S1040)</f>
        <v>69.400000000000006</v>
      </c>
    </row>
    <row r="1041" spans="1:20" ht="15" customHeight="1">
      <c r="A1041" s="6" t="s">
        <v>1076</v>
      </c>
      <c r="B1041" s="7">
        <v>45691</v>
      </c>
      <c r="C1041" s="6" t="s">
        <v>727</v>
      </c>
      <c r="D1041" s="6" t="s">
        <v>22</v>
      </c>
      <c r="E1041" s="6" t="s">
        <v>23</v>
      </c>
      <c r="F1041" s="6" t="str">
        <f>IF(E1041="","Unknown",E1041)</f>
        <v>Desktop</v>
      </c>
      <c r="G1041" s="6" t="s">
        <v>29</v>
      </c>
      <c r="H1041" s="6" t="str">
        <f>IF(G1041="","Unknown",G1041)</f>
        <v>Organic</v>
      </c>
      <c r="I1041" s="6" t="s">
        <v>25</v>
      </c>
      <c r="J1041" s="6">
        <v>1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f>IF(O1041&gt;0,1,0)</f>
        <v>0</v>
      </c>
      <c r="Q1041" s="6">
        <v>0</v>
      </c>
      <c r="S1041" s="6">
        <v>60.4</v>
      </c>
      <c r="T1041" s="6">
        <f>IF(S1041="",MEDIAN($S$2:$S$1409),S1041)</f>
        <v>60.4</v>
      </c>
    </row>
    <row r="1042" spans="1:20" ht="15" customHeight="1">
      <c r="A1042" s="6" t="s">
        <v>1077</v>
      </c>
      <c r="B1042" s="7">
        <v>45793</v>
      </c>
      <c r="C1042" s="6" t="s">
        <v>727</v>
      </c>
      <c r="D1042" s="6" t="s">
        <v>32</v>
      </c>
      <c r="E1042" s="6" t="s">
        <v>28</v>
      </c>
      <c r="F1042" s="6" t="str">
        <f>IF(E1042="","Unknown",E1042)</f>
        <v>Mobile</v>
      </c>
      <c r="G1042" s="6" t="s">
        <v>43</v>
      </c>
      <c r="H1042" s="6" t="str">
        <f>IF(G1042="","Unknown",G1042)</f>
        <v>Referral</v>
      </c>
      <c r="I1042" s="6" t="s">
        <v>30</v>
      </c>
      <c r="J1042" s="6">
        <v>1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f>IF(O1042&gt;0,1,0)</f>
        <v>0</v>
      </c>
      <c r="Q1042" s="6">
        <v>0</v>
      </c>
      <c r="S1042" s="6">
        <v>45.7</v>
      </c>
      <c r="T1042" s="6">
        <f>IF(S1042="",MEDIAN($S$2:$S$1409),S1042)</f>
        <v>45.7</v>
      </c>
    </row>
    <row r="1043" spans="1:20" ht="15" customHeight="1">
      <c r="A1043" s="6" t="s">
        <v>1078</v>
      </c>
      <c r="B1043" s="7">
        <v>45668</v>
      </c>
      <c r="C1043" s="6" t="s">
        <v>727</v>
      </c>
      <c r="D1043" s="6" t="s">
        <v>27</v>
      </c>
      <c r="E1043" s="6" t="s">
        <v>28</v>
      </c>
      <c r="F1043" s="6" t="str">
        <f>IF(E1043="","Unknown",E1043)</f>
        <v>Mobile</v>
      </c>
      <c r="G1043" s="6" t="s">
        <v>29</v>
      </c>
      <c r="H1043" s="6" t="str">
        <f>IF(G1043="","Unknown",G1043)</f>
        <v>Organic</v>
      </c>
      <c r="I1043" s="6" t="s">
        <v>25</v>
      </c>
      <c r="J1043" s="6">
        <v>0</v>
      </c>
      <c r="K1043" s="6">
        <v>0</v>
      </c>
      <c r="L1043" s="6">
        <v>0</v>
      </c>
      <c r="M1043" s="6">
        <v>0</v>
      </c>
      <c r="N1043" s="6">
        <v>0</v>
      </c>
      <c r="O1043" s="6">
        <v>1</v>
      </c>
      <c r="P1043" s="6">
        <f>IF(O1043&gt;0,1,0)</f>
        <v>1</v>
      </c>
      <c r="Q1043" s="6">
        <v>0</v>
      </c>
      <c r="S1043" s="6">
        <v>42.2</v>
      </c>
      <c r="T1043" s="6">
        <f>IF(S1043="",MEDIAN($S$2:$S$1409),S1043)</f>
        <v>42.2</v>
      </c>
    </row>
    <row r="1044" spans="1:20" ht="15" customHeight="1">
      <c r="A1044" s="6" t="s">
        <v>1079</v>
      </c>
      <c r="B1044" s="7">
        <v>45802</v>
      </c>
      <c r="C1044" s="6" t="s">
        <v>727</v>
      </c>
      <c r="D1044" s="6" t="s">
        <v>22</v>
      </c>
      <c r="E1044" s="6" t="s">
        <v>23</v>
      </c>
      <c r="F1044" s="6" t="str">
        <f>IF(E1044="","Unknown",E1044)</f>
        <v>Desktop</v>
      </c>
      <c r="G1044" s="6" t="s">
        <v>29</v>
      </c>
      <c r="H1044" s="6" t="str">
        <f>IF(G1044="","Unknown",G1044)</f>
        <v>Organic</v>
      </c>
      <c r="I1044" s="6" t="s">
        <v>30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2</v>
      </c>
      <c r="P1044" s="6">
        <f>IF(O1044&gt;0,1,0)</f>
        <v>1</v>
      </c>
      <c r="Q1044" s="6">
        <v>0</v>
      </c>
      <c r="S1044" s="6">
        <v>61.9</v>
      </c>
      <c r="T1044" s="6">
        <f>IF(S1044="",MEDIAN($S$2:$S$1409),S1044)</f>
        <v>61.9</v>
      </c>
    </row>
    <row r="1045" spans="1:20" ht="15" customHeight="1">
      <c r="A1045" s="6" t="s">
        <v>1080</v>
      </c>
      <c r="B1045" s="7">
        <v>45785</v>
      </c>
      <c r="C1045" s="6" t="s">
        <v>727</v>
      </c>
      <c r="D1045" s="6" t="s">
        <v>32</v>
      </c>
      <c r="E1045" s="6" t="s">
        <v>28</v>
      </c>
      <c r="F1045" s="6" t="str">
        <f>IF(E1045="","Unknown",E1045)</f>
        <v>Mobile</v>
      </c>
      <c r="G1045" s="6" t="s">
        <v>33</v>
      </c>
      <c r="H1045" s="6" t="str">
        <f>IF(G1045="","Unknown",G1045)</f>
        <v>Paid Search</v>
      </c>
      <c r="I1045" s="6" t="s">
        <v>34</v>
      </c>
      <c r="J1045" s="6">
        <v>0</v>
      </c>
      <c r="K1045" s="6">
        <v>0</v>
      </c>
      <c r="L1045" s="6">
        <v>0</v>
      </c>
      <c r="M1045" s="6">
        <v>0</v>
      </c>
      <c r="N1045" s="6">
        <v>0</v>
      </c>
      <c r="O1045" s="6">
        <v>0</v>
      </c>
      <c r="P1045" s="6">
        <f>IF(O1045&gt;0,1,0)</f>
        <v>0</v>
      </c>
      <c r="Q1045" s="6">
        <v>0</v>
      </c>
      <c r="S1045" s="6">
        <v>44.9</v>
      </c>
      <c r="T1045" s="6">
        <f>IF(S1045="",MEDIAN($S$2:$S$1409),S1045)</f>
        <v>44.9</v>
      </c>
    </row>
    <row r="1046" spans="1:20" ht="15" customHeight="1">
      <c r="A1046" s="6" t="s">
        <v>1081</v>
      </c>
      <c r="B1046" s="7">
        <v>45714</v>
      </c>
      <c r="C1046" s="6" t="s">
        <v>727</v>
      </c>
      <c r="D1046" s="6" t="s">
        <v>32</v>
      </c>
      <c r="E1046" s="6" t="s">
        <v>23</v>
      </c>
      <c r="F1046" s="6" t="str">
        <f>IF(E1046="","Unknown",E1046)</f>
        <v>Desktop</v>
      </c>
      <c r="G1046" s="6"/>
      <c r="H1046" s="6" t="str">
        <f>IF(G1046="","Unknown",G1046)</f>
        <v>Unknown</v>
      </c>
      <c r="I1046" s="6" t="s">
        <v>25</v>
      </c>
      <c r="J1046" s="6">
        <v>1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f>IF(O1046&gt;0,1,0)</f>
        <v>0</v>
      </c>
      <c r="Q1046" s="6">
        <v>0</v>
      </c>
      <c r="S1046" s="6">
        <v>68</v>
      </c>
      <c r="T1046" s="6">
        <f>IF(S1046="",MEDIAN($S$2:$S$1409),S1046)</f>
        <v>68</v>
      </c>
    </row>
    <row r="1047" spans="1:20" ht="15" customHeight="1">
      <c r="A1047" s="6" t="s">
        <v>1082</v>
      </c>
      <c r="B1047" s="7">
        <v>45746</v>
      </c>
      <c r="C1047" s="6" t="s">
        <v>727</v>
      </c>
      <c r="D1047" s="6" t="s">
        <v>22</v>
      </c>
      <c r="E1047" s="6" t="s">
        <v>28</v>
      </c>
      <c r="F1047" s="6" t="str">
        <f>IF(E1047="","Unknown",E1047)</f>
        <v>Mobile</v>
      </c>
      <c r="G1047" s="6" t="s">
        <v>33</v>
      </c>
      <c r="H1047" s="6" t="str">
        <f>IF(G1047="","Unknown",G1047)</f>
        <v>Paid Search</v>
      </c>
      <c r="I1047" s="6" t="s">
        <v>30</v>
      </c>
      <c r="J1047" s="6">
        <v>1</v>
      </c>
      <c r="K1047" s="6">
        <v>0</v>
      </c>
      <c r="L1047" s="6">
        <v>0</v>
      </c>
      <c r="M1047" s="6">
        <v>0</v>
      </c>
      <c r="N1047" s="6">
        <v>0</v>
      </c>
      <c r="O1047" s="6">
        <v>0</v>
      </c>
      <c r="P1047" s="6">
        <f>IF(O1047&gt;0,1,0)</f>
        <v>0</v>
      </c>
      <c r="Q1047" s="6">
        <v>0</v>
      </c>
      <c r="S1047" s="6">
        <v>61</v>
      </c>
      <c r="T1047" s="6">
        <f>IF(S1047="",MEDIAN($S$2:$S$1409),S1047)</f>
        <v>61</v>
      </c>
    </row>
    <row r="1048" spans="1:20" ht="15" customHeight="1">
      <c r="A1048" s="6" t="s">
        <v>1083</v>
      </c>
      <c r="B1048" s="7">
        <v>45760</v>
      </c>
      <c r="C1048" s="6" t="s">
        <v>727</v>
      </c>
      <c r="D1048" s="6" t="s">
        <v>27</v>
      </c>
      <c r="E1048" s="6" t="s">
        <v>28</v>
      </c>
      <c r="F1048" s="6" t="str">
        <f>IF(E1048="","Unknown",E1048)</f>
        <v>Mobile</v>
      </c>
      <c r="G1048" s="6" t="s">
        <v>29</v>
      </c>
      <c r="H1048" s="6" t="str">
        <f>IF(G1048="","Unknown",G1048)</f>
        <v>Organic</v>
      </c>
      <c r="I1048" s="6" t="s">
        <v>25</v>
      </c>
      <c r="J1048" s="6">
        <v>1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f>IF(O1048&gt;0,1,0)</f>
        <v>0</v>
      </c>
      <c r="Q1048" s="6">
        <v>0</v>
      </c>
      <c r="S1048" s="6">
        <v>55</v>
      </c>
      <c r="T1048" s="6">
        <f>IF(S1048="",MEDIAN($S$2:$S$1409),S1048)</f>
        <v>55</v>
      </c>
    </row>
    <row r="1049" spans="1:20" ht="15" customHeight="1">
      <c r="A1049" s="6" t="s">
        <v>1084</v>
      </c>
      <c r="B1049" s="7">
        <v>45708</v>
      </c>
      <c r="C1049" s="6" t="s">
        <v>727</v>
      </c>
      <c r="D1049" s="6" t="s">
        <v>32</v>
      </c>
      <c r="E1049" s="6"/>
      <c r="F1049" s="6" t="str">
        <f>IF(E1049="","Unknown",E1049)</f>
        <v>Unknown</v>
      </c>
      <c r="G1049" s="6" t="s">
        <v>33</v>
      </c>
      <c r="H1049" s="6" t="str">
        <f>IF(G1049="","Unknown",G1049)</f>
        <v>Paid Search</v>
      </c>
      <c r="I1049" s="6" t="s">
        <v>25</v>
      </c>
      <c r="J1049" s="6">
        <v>1</v>
      </c>
      <c r="K1049" s="6"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f>IF(O1049&gt;0,1,0)</f>
        <v>0</v>
      </c>
      <c r="Q1049" s="6">
        <v>0</v>
      </c>
      <c r="S1049" s="6">
        <v>63.1</v>
      </c>
      <c r="T1049" s="6">
        <f>IF(S1049="",MEDIAN($S$2:$S$1409),S1049)</f>
        <v>63.1</v>
      </c>
    </row>
    <row r="1050" spans="1:20" ht="15" customHeight="1">
      <c r="A1050" s="6" t="s">
        <v>1085</v>
      </c>
      <c r="B1050" s="7">
        <v>45766</v>
      </c>
      <c r="C1050" s="6" t="s">
        <v>727</v>
      </c>
      <c r="D1050" s="6" t="s">
        <v>27</v>
      </c>
      <c r="E1050" s="6" t="s">
        <v>23</v>
      </c>
      <c r="F1050" s="6" t="str">
        <f>IF(E1050="","Unknown",E1050)</f>
        <v>Desktop</v>
      </c>
      <c r="G1050" s="6" t="s">
        <v>45</v>
      </c>
      <c r="H1050" s="6" t="str">
        <f>IF(G1050="","Unknown",G1050)</f>
        <v>Social</v>
      </c>
      <c r="I1050" s="6" t="s">
        <v>30</v>
      </c>
      <c r="J1050" s="6">
        <v>1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f>IF(O1050&gt;0,1,0)</f>
        <v>0</v>
      </c>
      <c r="Q1050" s="6">
        <v>0</v>
      </c>
      <c r="S1050" s="6">
        <v>75.8</v>
      </c>
      <c r="T1050" s="6">
        <f>IF(S1050="",MEDIAN($S$2:$S$1409),S1050)</f>
        <v>75.8</v>
      </c>
    </row>
    <row r="1051" spans="1:20" ht="15" customHeight="1">
      <c r="A1051" s="6" t="s">
        <v>1086</v>
      </c>
      <c r="B1051" s="7">
        <v>45738</v>
      </c>
      <c r="C1051" s="6" t="s">
        <v>727</v>
      </c>
      <c r="D1051" s="6" t="s">
        <v>36</v>
      </c>
      <c r="E1051" s="6" t="s">
        <v>28</v>
      </c>
      <c r="F1051" s="6" t="str">
        <f>IF(E1051="","Unknown",E1051)</f>
        <v>Mobile</v>
      </c>
      <c r="G1051" s="6" t="s">
        <v>33</v>
      </c>
      <c r="H1051" s="6" t="str">
        <f>IF(G1051="","Unknown",G1051)</f>
        <v>Paid Search</v>
      </c>
      <c r="I1051" s="6" t="s">
        <v>30</v>
      </c>
      <c r="J1051" s="6">
        <v>1</v>
      </c>
      <c r="K1051" s="6">
        <v>1</v>
      </c>
      <c r="L1051" s="6">
        <v>0</v>
      </c>
      <c r="M1051" s="6">
        <v>0</v>
      </c>
      <c r="N1051" s="6">
        <v>0</v>
      </c>
      <c r="O1051" s="6">
        <v>1</v>
      </c>
      <c r="P1051" s="6">
        <f>IF(O1051&gt;0,1,0)</f>
        <v>1</v>
      </c>
      <c r="Q1051" s="6">
        <v>0</v>
      </c>
      <c r="S1051" s="6">
        <v>43.8</v>
      </c>
      <c r="T1051" s="6">
        <f>IF(S1051="",MEDIAN($S$2:$S$1409),S1051)</f>
        <v>43.8</v>
      </c>
    </row>
    <row r="1052" spans="1:20" ht="15" customHeight="1">
      <c r="A1052" s="6" t="s">
        <v>1087</v>
      </c>
      <c r="B1052" s="7">
        <v>45716</v>
      </c>
      <c r="C1052" s="6" t="s">
        <v>727</v>
      </c>
      <c r="D1052" s="6" t="s">
        <v>22</v>
      </c>
      <c r="E1052" s="6" t="s">
        <v>28</v>
      </c>
      <c r="F1052" s="6" t="str">
        <f>IF(E1052="","Unknown",E1052)</f>
        <v>Mobile</v>
      </c>
      <c r="G1052" s="6" t="s">
        <v>24</v>
      </c>
      <c r="H1052" s="6" t="str">
        <f>IF(G1052="","Unknown",G1052)</f>
        <v>Email</v>
      </c>
      <c r="I1052" s="6" t="s">
        <v>25</v>
      </c>
      <c r="J1052" s="6">
        <v>1</v>
      </c>
      <c r="K1052" s="6">
        <v>1</v>
      </c>
      <c r="L1052" s="6">
        <v>0</v>
      </c>
      <c r="M1052" s="6">
        <v>0</v>
      </c>
      <c r="N1052" s="6">
        <v>0</v>
      </c>
      <c r="O1052" s="6">
        <v>0</v>
      </c>
      <c r="P1052" s="6">
        <f>IF(O1052&gt;0,1,0)</f>
        <v>0</v>
      </c>
      <c r="Q1052" s="6">
        <v>0</v>
      </c>
      <c r="S1052" s="6">
        <v>46.8</v>
      </c>
      <c r="T1052" s="6">
        <f>IF(S1052="",MEDIAN($S$2:$S$1409),S1052)</f>
        <v>46.8</v>
      </c>
    </row>
    <row r="1053" spans="1:20" ht="15" customHeight="1">
      <c r="A1053" s="6" t="s">
        <v>1088</v>
      </c>
      <c r="B1053" s="7">
        <v>45801</v>
      </c>
      <c r="C1053" s="6" t="s">
        <v>727</v>
      </c>
      <c r="D1053" s="6" t="s">
        <v>32</v>
      </c>
      <c r="E1053" s="6" t="s">
        <v>28</v>
      </c>
      <c r="F1053" s="6" t="str">
        <f>IF(E1053="","Unknown",E1053)</f>
        <v>Mobile</v>
      </c>
      <c r="G1053" s="6" t="s">
        <v>45</v>
      </c>
      <c r="H1053" s="6" t="str">
        <f>IF(G1053="","Unknown",G1053)</f>
        <v>Social</v>
      </c>
      <c r="I1053" s="6" t="s">
        <v>30</v>
      </c>
      <c r="J1053" s="6">
        <v>1</v>
      </c>
      <c r="K1053" s="6">
        <v>1</v>
      </c>
      <c r="L1053" s="6">
        <v>1</v>
      </c>
      <c r="M1053" s="6">
        <v>0</v>
      </c>
      <c r="N1053" s="6">
        <v>0</v>
      </c>
      <c r="O1053" s="6">
        <v>0</v>
      </c>
      <c r="P1053" s="6">
        <f>IF(O1053&gt;0,1,0)</f>
        <v>0</v>
      </c>
      <c r="Q1053" s="6">
        <v>0</v>
      </c>
      <c r="S1053" s="6">
        <v>97.4</v>
      </c>
      <c r="T1053" s="6">
        <f>IF(S1053="",MEDIAN($S$2:$S$1409),S1053)</f>
        <v>97.4</v>
      </c>
    </row>
    <row r="1054" spans="1:20" ht="15" customHeight="1">
      <c r="A1054" s="6" t="s">
        <v>1089</v>
      </c>
      <c r="B1054" s="7">
        <v>45691</v>
      </c>
      <c r="C1054" s="6" t="s">
        <v>727</v>
      </c>
      <c r="D1054" s="6" t="s">
        <v>22</v>
      </c>
      <c r="E1054" s="6" t="s">
        <v>23</v>
      </c>
      <c r="F1054" s="6" t="str">
        <f>IF(E1054="","Unknown",E1054)</f>
        <v>Desktop</v>
      </c>
      <c r="G1054" s="6" t="s">
        <v>24</v>
      </c>
      <c r="H1054" s="6" t="str">
        <f>IF(G1054="","Unknown",G1054)</f>
        <v>Email</v>
      </c>
      <c r="I1054" s="6" t="s">
        <v>30</v>
      </c>
      <c r="J1054" s="6">
        <v>1</v>
      </c>
      <c r="K1054" s="6">
        <v>1</v>
      </c>
      <c r="L1054" s="6">
        <v>1</v>
      </c>
      <c r="M1054" s="6">
        <v>1</v>
      </c>
      <c r="N1054" s="6">
        <v>268.95999999999998</v>
      </c>
      <c r="O1054" s="6">
        <v>0</v>
      </c>
      <c r="P1054" s="6">
        <f>IF(O1054&gt;0,1,0)</f>
        <v>0</v>
      </c>
      <c r="Q1054" s="6">
        <v>0</v>
      </c>
      <c r="R1054" s="6">
        <v>14</v>
      </c>
      <c r="S1054" s="6">
        <v>81</v>
      </c>
      <c r="T1054" s="6">
        <f>IF(S1054="",MEDIAN($S$2:$S$1409),S1054)</f>
        <v>81</v>
      </c>
    </row>
    <row r="1055" spans="1:20" ht="15" customHeight="1">
      <c r="A1055" s="6" t="s">
        <v>1090</v>
      </c>
      <c r="B1055" s="7">
        <v>45684</v>
      </c>
      <c r="C1055" s="6" t="s">
        <v>727</v>
      </c>
      <c r="D1055" s="6" t="s">
        <v>36</v>
      </c>
      <c r="E1055" s="6" t="s">
        <v>28</v>
      </c>
      <c r="F1055" s="6" t="str">
        <f>IF(E1055="","Unknown",E1055)</f>
        <v>Mobile</v>
      </c>
      <c r="G1055" s="6" t="s">
        <v>29</v>
      </c>
      <c r="H1055" s="6" t="str">
        <f>IF(G1055="","Unknown",G1055)</f>
        <v>Organic</v>
      </c>
      <c r="I1055" s="6" t="s">
        <v>30</v>
      </c>
      <c r="J1055" s="6">
        <v>1</v>
      </c>
      <c r="K1055" s="6">
        <v>0</v>
      </c>
      <c r="L1055" s="6">
        <v>0</v>
      </c>
      <c r="M1055" s="6">
        <v>0</v>
      </c>
      <c r="N1055" s="6">
        <v>0</v>
      </c>
      <c r="O1055" s="6">
        <v>1</v>
      </c>
      <c r="P1055" s="6">
        <f>IF(O1055&gt;0,1,0)</f>
        <v>1</v>
      </c>
      <c r="Q1055" s="6">
        <v>0</v>
      </c>
      <c r="S1055" s="6">
        <v>58.9</v>
      </c>
      <c r="T1055" s="6">
        <f>IF(S1055="",MEDIAN($S$2:$S$1409),S1055)</f>
        <v>58.9</v>
      </c>
    </row>
    <row r="1056" spans="1:20" ht="15" customHeight="1">
      <c r="A1056" s="6" t="s">
        <v>1091</v>
      </c>
      <c r="B1056" s="7">
        <v>45764</v>
      </c>
      <c r="C1056" s="6" t="s">
        <v>727</v>
      </c>
      <c r="D1056" s="6" t="s">
        <v>32</v>
      </c>
      <c r="E1056" s="6" t="s">
        <v>28</v>
      </c>
      <c r="F1056" s="6" t="str">
        <f>IF(E1056="","Unknown",E1056)</f>
        <v>Mobile</v>
      </c>
      <c r="G1056" s="6" t="s">
        <v>29</v>
      </c>
      <c r="H1056" s="6" t="str">
        <f>IF(G1056="","Unknown",G1056)</f>
        <v>Organic</v>
      </c>
      <c r="I1056" s="6" t="s">
        <v>30</v>
      </c>
      <c r="J1056" s="6">
        <v>1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f>IF(O1056&gt;0,1,0)</f>
        <v>0</v>
      </c>
      <c r="Q1056" s="6">
        <v>0</v>
      </c>
      <c r="S1056" s="6">
        <v>51.9</v>
      </c>
      <c r="T1056" s="6">
        <f>IF(S1056="",MEDIAN($S$2:$S$1409),S1056)</f>
        <v>51.9</v>
      </c>
    </row>
    <row r="1057" spans="1:20" ht="15" customHeight="1">
      <c r="A1057" s="6" t="s">
        <v>1092</v>
      </c>
      <c r="B1057" s="7">
        <v>45694</v>
      </c>
      <c r="C1057" s="6" t="s">
        <v>727</v>
      </c>
      <c r="D1057" s="6" t="s">
        <v>27</v>
      </c>
      <c r="E1057" s="6" t="s">
        <v>28</v>
      </c>
      <c r="F1057" s="6" t="str">
        <f>IF(E1057="","Unknown",E1057)</f>
        <v>Mobile</v>
      </c>
      <c r="G1057" s="6" t="s">
        <v>45</v>
      </c>
      <c r="H1057" s="6" t="str">
        <f>IF(G1057="","Unknown",G1057)</f>
        <v>Social</v>
      </c>
      <c r="I1057" s="6" t="s">
        <v>30</v>
      </c>
      <c r="J1057" s="6">
        <v>1</v>
      </c>
      <c r="K1057" s="6">
        <v>1</v>
      </c>
      <c r="L1057" s="6">
        <v>0</v>
      </c>
      <c r="M1057" s="6">
        <v>0</v>
      </c>
      <c r="N1057" s="6">
        <v>0</v>
      </c>
      <c r="O1057" s="6">
        <v>0</v>
      </c>
      <c r="P1057" s="6">
        <f>IF(O1057&gt;0,1,0)</f>
        <v>0</v>
      </c>
      <c r="Q1057" s="6">
        <v>0</v>
      </c>
      <c r="S1057" s="6">
        <v>61.7</v>
      </c>
      <c r="T1057" s="6">
        <f>IF(S1057="",MEDIAN($S$2:$S$1409),S1057)</f>
        <v>61.7</v>
      </c>
    </row>
    <row r="1058" spans="1:20" ht="15" customHeight="1">
      <c r="A1058" s="6" t="s">
        <v>1093</v>
      </c>
      <c r="B1058" s="7">
        <v>45767</v>
      </c>
      <c r="C1058" s="6" t="s">
        <v>727</v>
      </c>
      <c r="D1058" s="6" t="s">
        <v>36</v>
      </c>
      <c r="E1058" s="6" t="s">
        <v>28</v>
      </c>
      <c r="F1058" s="6" t="str">
        <f>IF(E1058="","Unknown",E1058)</f>
        <v>Mobile</v>
      </c>
      <c r="G1058" s="6" t="s">
        <v>33</v>
      </c>
      <c r="H1058" s="6" t="str">
        <f>IF(G1058="","Unknown",G1058)</f>
        <v>Paid Search</v>
      </c>
      <c r="I1058" s="6" t="s">
        <v>30</v>
      </c>
      <c r="J1058" s="6">
        <v>1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f>IF(O1058&gt;0,1,0)</f>
        <v>0</v>
      </c>
      <c r="Q1058" s="6">
        <v>0</v>
      </c>
      <c r="S1058" s="6">
        <v>44.7</v>
      </c>
      <c r="T1058" s="6">
        <f>IF(S1058="",MEDIAN($S$2:$S$1409),S1058)</f>
        <v>44.7</v>
      </c>
    </row>
    <row r="1059" spans="1:20" ht="15" customHeight="1">
      <c r="A1059" s="6" t="s">
        <v>1094</v>
      </c>
      <c r="B1059" s="7">
        <v>45783</v>
      </c>
      <c r="C1059" s="6" t="s">
        <v>727</v>
      </c>
      <c r="D1059" s="6" t="s">
        <v>22</v>
      </c>
      <c r="E1059" s="6" t="s">
        <v>28</v>
      </c>
      <c r="F1059" s="6" t="str">
        <f>IF(E1059="","Unknown",E1059)</f>
        <v>Mobile</v>
      </c>
      <c r="G1059" s="6" t="s">
        <v>33</v>
      </c>
      <c r="H1059" s="6" t="str">
        <f>IF(G1059="","Unknown",G1059)</f>
        <v>Paid Search</v>
      </c>
      <c r="I1059" s="6" t="s">
        <v>25</v>
      </c>
      <c r="J1059" s="6">
        <v>0</v>
      </c>
      <c r="K1059" s="6">
        <v>0</v>
      </c>
      <c r="L1059" s="6">
        <v>0</v>
      </c>
      <c r="M1059" s="6">
        <v>0</v>
      </c>
      <c r="N1059" s="6">
        <v>0</v>
      </c>
      <c r="O1059" s="6">
        <v>0</v>
      </c>
      <c r="P1059" s="6">
        <f>IF(O1059&gt;0,1,0)</f>
        <v>0</v>
      </c>
      <c r="Q1059" s="6">
        <v>0</v>
      </c>
      <c r="S1059" s="6">
        <v>63.2</v>
      </c>
      <c r="T1059" s="6">
        <f>IF(S1059="",MEDIAN($S$2:$S$1409),S1059)</f>
        <v>63.2</v>
      </c>
    </row>
    <row r="1060" spans="1:20" ht="15" customHeight="1">
      <c r="A1060" s="6" t="s">
        <v>1095</v>
      </c>
      <c r="B1060" s="7">
        <v>45793</v>
      </c>
      <c r="C1060" s="6" t="s">
        <v>727</v>
      </c>
      <c r="D1060" s="6" t="s">
        <v>36</v>
      </c>
      <c r="E1060" s="6" t="s">
        <v>28</v>
      </c>
      <c r="F1060" s="6" t="str">
        <f>IF(E1060="","Unknown",E1060)</f>
        <v>Mobile</v>
      </c>
      <c r="G1060" s="6" t="s">
        <v>29</v>
      </c>
      <c r="H1060" s="6" t="str">
        <f>IF(G1060="","Unknown",G1060)</f>
        <v>Organic</v>
      </c>
      <c r="I1060" s="6" t="s">
        <v>30</v>
      </c>
      <c r="J1060" s="6">
        <v>1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f>IF(O1060&gt;0,1,0)</f>
        <v>0</v>
      </c>
      <c r="Q1060" s="6">
        <v>0</v>
      </c>
      <c r="S1060" s="6">
        <v>70.3</v>
      </c>
      <c r="T1060" s="6">
        <f>IF(S1060="",MEDIAN($S$2:$S$1409),S1060)</f>
        <v>70.3</v>
      </c>
    </row>
    <row r="1061" spans="1:20" ht="15" customHeight="1">
      <c r="A1061" s="6" t="s">
        <v>1096</v>
      </c>
      <c r="B1061" s="7">
        <v>45718</v>
      </c>
      <c r="C1061" s="6" t="s">
        <v>727</v>
      </c>
      <c r="D1061" s="6" t="s">
        <v>36</v>
      </c>
      <c r="E1061" s="6" t="s">
        <v>28</v>
      </c>
      <c r="F1061" s="6" t="str">
        <f>IF(E1061="","Unknown",E1061)</f>
        <v>Mobile</v>
      </c>
      <c r="G1061" s="6" t="s">
        <v>33</v>
      </c>
      <c r="H1061" s="6" t="str">
        <f>IF(G1061="","Unknown",G1061)</f>
        <v>Paid Search</v>
      </c>
      <c r="I1061" s="6" t="s">
        <v>34</v>
      </c>
      <c r="J1061" s="6">
        <v>1</v>
      </c>
      <c r="K1061" s="6">
        <v>1</v>
      </c>
      <c r="L1061" s="6">
        <v>0</v>
      </c>
      <c r="M1061" s="6">
        <v>0</v>
      </c>
      <c r="N1061" s="6">
        <v>0</v>
      </c>
      <c r="O1061" s="6">
        <v>1</v>
      </c>
      <c r="P1061" s="6">
        <f>IF(O1061&gt;0,1,0)</f>
        <v>1</v>
      </c>
      <c r="Q1061" s="6">
        <v>0</v>
      </c>
      <c r="S1061" s="6">
        <v>83.1</v>
      </c>
      <c r="T1061" s="6">
        <f>IF(S1061="",MEDIAN($S$2:$S$1409),S1061)</f>
        <v>83.1</v>
      </c>
    </row>
    <row r="1062" spans="1:20" ht="15" customHeight="1">
      <c r="A1062" s="6" t="s">
        <v>1097</v>
      </c>
      <c r="B1062" s="7">
        <v>45756</v>
      </c>
      <c r="C1062" s="6" t="s">
        <v>727</v>
      </c>
      <c r="D1062" s="6" t="s">
        <v>27</v>
      </c>
      <c r="E1062" s="6" t="s">
        <v>28</v>
      </c>
      <c r="F1062" s="6" t="str">
        <f>IF(E1062="","Unknown",E1062)</f>
        <v>Mobile</v>
      </c>
      <c r="G1062" s="6" t="s">
        <v>45</v>
      </c>
      <c r="H1062" s="6" t="str">
        <f>IF(G1062="","Unknown",G1062)</f>
        <v>Social</v>
      </c>
      <c r="I1062" s="6" t="s">
        <v>30</v>
      </c>
      <c r="J1062" s="6">
        <v>0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f>IF(O1062&gt;0,1,0)</f>
        <v>0</v>
      </c>
      <c r="Q1062" s="6">
        <v>0</v>
      </c>
      <c r="S1062" s="6">
        <v>50.3</v>
      </c>
      <c r="T1062" s="6">
        <f>IF(S1062="",MEDIAN($S$2:$S$1409),S1062)</f>
        <v>50.3</v>
      </c>
    </row>
    <row r="1063" spans="1:20" ht="15" customHeight="1">
      <c r="A1063" s="6" t="s">
        <v>1098</v>
      </c>
      <c r="B1063" s="7">
        <v>45683</v>
      </c>
      <c r="C1063" s="6" t="s">
        <v>727</v>
      </c>
      <c r="D1063" s="6" t="s">
        <v>32</v>
      </c>
      <c r="E1063" s="6" t="s">
        <v>28</v>
      </c>
      <c r="F1063" s="6" t="str">
        <f>IF(E1063="","Unknown",E1063)</f>
        <v>Mobile</v>
      </c>
      <c r="G1063" s="6" t="s">
        <v>33</v>
      </c>
      <c r="H1063" s="6" t="str">
        <f>IF(G1063="","Unknown",G1063)</f>
        <v>Paid Search</v>
      </c>
      <c r="I1063" s="6" t="s">
        <v>30</v>
      </c>
      <c r="J1063" s="6">
        <v>1</v>
      </c>
      <c r="K1063" s="6">
        <v>1</v>
      </c>
      <c r="L1063" s="6">
        <v>1</v>
      </c>
      <c r="M1063" s="6">
        <v>1</v>
      </c>
      <c r="N1063" s="6">
        <v>437.09</v>
      </c>
      <c r="O1063" s="6">
        <v>2</v>
      </c>
      <c r="P1063" s="6">
        <f>IF(O1063&gt;0,1,0)</f>
        <v>1</v>
      </c>
      <c r="Q1063" s="6">
        <v>1</v>
      </c>
      <c r="R1063" s="6">
        <v>1</v>
      </c>
      <c r="S1063" s="6">
        <v>58.2</v>
      </c>
      <c r="T1063" s="6">
        <f>IF(S1063="",MEDIAN($S$2:$S$1409),S1063)</f>
        <v>58.2</v>
      </c>
    </row>
    <row r="1064" spans="1:20" ht="15" customHeight="1">
      <c r="A1064" s="6" t="s">
        <v>1099</v>
      </c>
      <c r="B1064" s="7">
        <v>45713</v>
      </c>
      <c r="C1064" s="6" t="s">
        <v>727</v>
      </c>
      <c r="D1064" s="6" t="s">
        <v>36</v>
      </c>
      <c r="E1064" s="6" t="s">
        <v>28</v>
      </c>
      <c r="F1064" s="6" t="str">
        <f>IF(E1064="","Unknown",E1064)</f>
        <v>Mobile</v>
      </c>
      <c r="G1064" s="6" t="s">
        <v>33</v>
      </c>
      <c r="H1064" s="6" t="str">
        <f>IF(G1064="","Unknown",G1064)</f>
        <v>Paid Search</v>
      </c>
      <c r="I1064" s="6" t="s">
        <v>25</v>
      </c>
      <c r="J1064" s="6">
        <v>1</v>
      </c>
      <c r="K1064" s="6">
        <v>1</v>
      </c>
      <c r="L1064" s="6">
        <v>1</v>
      </c>
      <c r="M1064" s="6">
        <v>0</v>
      </c>
      <c r="N1064" s="6">
        <v>0</v>
      </c>
      <c r="O1064" s="6">
        <v>0</v>
      </c>
      <c r="P1064" s="6">
        <f>IF(O1064&gt;0,1,0)</f>
        <v>0</v>
      </c>
      <c r="Q1064" s="6">
        <v>0</v>
      </c>
      <c r="S1064" s="6">
        <v>53.2</v>
      </c>
      <c r="T1064" s="6">
        <f>IF(S1064="",MEDIAN($S$2:$S$1409),S1064)</f>
        <v>53.2</v>
      </c>
    </row>
    <row r="1065" spans="1:20" ht="15" customHeight="1">
      <c r="A1065" s="6" t="s">
        <v>1100</v>
      </c>
      <c r="B1065" s="7">
        <v>45664</v>
      </c>
      <c r="C1065" s="6" t="s">
        <v>727</v>
      </c>
      <c r="D1065" s="6" t="s">
        <v>32</v>
      </c>
      <c r="E1065" s="6" t="s">
        <v>28</v>
      </c>
      <c r="F1065" s="6" t="str">
        <f>IF(E1065="","Unknown",E1065)</f>
        <v>Mobile</v>
      </c>
      <c r="G1065" s="6" t="s">
        <v>29</v>
      </c>
      <c r="H1065" s="6" t="str">
        <f>IF(G1065="","Unknown",G1065)</f>
        <v>Organic</v>
      </c>
      <c r="I1065" s="6" t="s">
        <v>34</v>
      </c>
      <c r="J1065" s="6">
        <v>0</v>
      </c>
      <c r="K1065" s="6"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f>IF(O1065&gt;0,1,0)</f>
        <v>0</v>
      </c>
      <c r="Q1065" s="6">
        <v>0</v>
      </c>
      <c r="S1065" s="6">
        <v>36.4</v>
      </c>
      <c r="T1065" s="6">
        <f>IF(S1065="",MEDIAN($S$2:$S$1409),S1065)</f>
        <v>36.4</v>
      </c>
    </row>
    <row r="1066" spans="1:20" ht="15" customHeight="1">
      <c r="A1066" s="6" t="s">
        <v>1101</v>
      </c>
      <c r="B1066" s="7">
        <v>45724</v>
      </c>
      <c r="C1066" s="6" t="s">
        <v>727</v>
      </c>
      <c r="D1066" s="6" t="s">
        <v>36</v>
      </c>
      <c r="E1066" s="6" t="s">
        <v>28</v>
      </c>
      <c r="F1066" s="6" t="str">
        <f>IF(E1066="","Unknown",E1066)</f>
        <v>Mobile</v>
      </c>
      <c r="G1066" s="6" t="s">
        <v>45</v>
      </c>
      <c r="H1066" s="6" t="str">
        <f>IF(G1066="","Unknown",G1066)</f>
        <v>Social</v>
      </c>
      <c r="I1066" s="6" t="s">
        <v>25</v>
      </c>
      <c r="J1066" s="6">
        <v>1</v>
      </c>
      <c r="K1066" s="6">
        <v>1</v>
      </c>
      <c r="L1066" s="6">
        <v>1</v>
      </c>
      <c r="M1066" s="6">
        <v>0</v>
      </c>
      <c r="N1066" s="6">
        <v>0</v>
      </c>
      <c r="O1066" s="6">
        <v>0</v>
      </c>
      <c r="P1066" s="6">
        <f>IF(O1066&gt;0,1,0)</f>
        <v>0</v>
      </c>
      <c r="Q1066" s="6">
        <v>0</v>
      </c>
      <c r="S1066" s="6">
        <v>72.7</v>
      </c>
      <c r="T1066" s="6">
        <f>IF(S1066="",MEDIAN($S$2:$S$1409),S1066)</f>
        <v>72.7</v>
      </c>
    </row>
    <row r="1067" spans="1:20" ht="15" customHeight="1">
      <c r="A1067" s="6" t="s">
        <v>1102</v>
      </c>
      <c r="B1067" s="7">
        <v>45799</v>
      </c>
      <c r="C1067" s="6" t="s">
        <v>727</v>
      </c>
      <c r="D1067" s="6" t="s">
        <v>32</v>
      </c>
      <c r="E1067" s="6" t="s">
        <v>28</v>
      </c>
      <c r="F1067" s="6" t="str">
        <f>IF(E1067="","Unknown",E1067)</f>
        <v>Mobile</v>
      </c>
      <c r="G1067" s="6" t="s">
        <v>43</v>
      </c>
      <c r="H1067" s="6" t="str">
        <f>IF(G1067="","Unknown",G1067)</f>
        <v>Referral</v>
      </c>
      <c r="I1067" s="6" t="s">
        <v>30</v>
      </c>
      <c r="J1067" s="6">
        <v>1</v>
      </c>
      <c r="K1067" s="6">
        <v>0</v>
      </c>
      <c r="L1067" s="6">
        <v>0</v>
      </c>
      <c r="M1067" s="6">
        <v>0</v>
      </c>
      <c r="N1067" s="6">
        <v>0</v>
      </c>
      <c r="O1067" s="6">
        <v>1</v>
      </c>
      <c r="P1067" s="6">
        <f>IF(O1067&gt;0,1,0)</f>
        <v>1</v>
      </c>
      <c r="Q1067" s="6">
        <v>0</v>
      </c>
      <c r="S1067" s="6">
        <v>86.7</v>
      </c>
      <c r="T1067" s="6">
        <f>IF(S1067="",MEDIAN($S$2:$S$1409),S1067)</f>
        <v>86.7</v>
      </c>
    </row>
    <row r="1068" spans="1:20" ht="15" customHeight="1">
      <c r="A1068" s="6" t="s">
        <v>1103</v>
      </c>
      <c r="B1068" s="7">
        <v>45765</v>
      </c>
      <c r="C1068" s="6" t="s">
        <v>727</v>
      </c>
      <c r="D1068" s="6" t="s">
        <v>32</v>
      </c>
      <c r="E1068" s="6" t="s">
        <v>28</v>
      </c>
      <c r="F1068" s="6" t="str">
        <f>IF(E1068="","Unknown",E1068)</f>
        <v>Mobile</v>
      </c>
      <c r="G1068" s="6" t="s">
        <v>33</v>
      </c>
      <c r="H1068" s="6" t="str">
        <f>IF(G1068="","Unknown",G1068)</f>
        <v>Paid Search</v>
      </c>
      <c r="I1068" s="6" t="s">
        <v>34</v>
      </c>
      <c r="J1068" s="6">
        <v>1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f>IF(O1068&gt;0,1,0)</f>
        <v>0</v>
      </c>
      <c r="Q1068" s="6">
        <v>0</v>
      </c>
      <c r="S1068" s="6">
        <v>48.2</v>
      </c>
      <c r="T1068" s="6">
        <f>IF(S1068="",MEDIAN($S$2:$S$1409),S1068)</f>
        <v>48.2</v>
      </c>
    </row>
    <row r="1069" spans="1:20" ht="15" customHeight="1">
      <c r="A1069" s="6" t="s">
        <v>1104</v>
      </c>
      <c r="B1069" s="7">
        <v>45712</v>
      </c>
      <c r="C1069" s="6" t="s">
        <v>727</v>
      </c>
      <c r="D1069" s="6" t="s">
        <v>27</v>
      </c>
      <c r="E1069" s="6" t="s">
        <v>28</v>
      </c>
      <c r="F1069" s="6" t="str">
        <f>IF(E1069="","Unknown",E1069)</f>
        <v>Mobile</v>
      </c>
      <c r="G1069" s="6" t="s">
        <v>43</v>
      </c>
      <c r="H1069" s="6" t="str">
        <f>IF(G1069="","Unknown",G1069)</f>
        <v>Referral</v>
      </c>
      <c r="I1069" s="6" t="s">
        <v>25</v>
      </c>
      <c r="J1069" s="6">
        <v>0</v>
      </c>
      <c r="K1069" s="6">
        <v>0</v>
      </c>
      <c r="L1069" s="6">
        <v>0</v>
      </c>
      <c r="M1069" s="6">
        <v>0</v>
      </c>
      <c r="N1069" s="6">
        <v>0</v>
      </c>
      <c r="O1069" s="6">
        <v>1</v>
      </c>
      <c r="P1069" s="6">
        <f>IF(O1069&gt;0,1,0)</f>
        <v>1</v>
      </c>
      <c r="Q1069" s="6">
        <v>0</v>
      </c>
      <c r="S1069" s="6">
        <v>57.6</v>
      </c>
      <c r="T1069" s="6">
        <f>IF(S1069="",MEDIAN($S$2:$S$1409),S1069)</f>
        <v>57.6</v>
      </c>
    </row>
    <row r="1070" spans="1:20" ht="15" customHeight="1">
      <c r="A1070" s="6" t="s">
        <v>1105</v>
      </c>
      <c r="B1070" s="7">
        <v>45699</v>
      </c>
      <c r="C1070" s="6" t="s">
        <v>727</v>
      </c>
      <c r="D1070" s="6" t="s">
        <v>22</v>
      </c>
      <c r="E1070" s="6" t="s">
        <v>28</v>
      </c>
      <c r="F1070" s="6" t="str">
        <f>IF(E1070="","Unknown",E1070)</f>
        <v>Mobile</v>
      </c>
      <c r="G1070" s="6" t="s">
        <v>29</v>
      </c>
      <c r="H1070" s="6" t="str">
        <f>IF(G1070="","Unknown",G1070)</f>
        <v>Organic</v>
      </c>
      <c r="I1070" s="6" t="s">
        <v>30</v>
      </c>
      <c r="J1070" s="6">
        <v>1</v>
      </c>
      <c r="K1070" s="6">
        <v>1</v>
      </c>
      <c r="L1070" s="6">
        <v>1</v>
      </c>
      <c r="M1070" s="6">
        <v>0</v>
      </c>
      <c r="N1070" s="6">
        <v>0</v>
      </c>
      <c r="O1070" s="6">
        <v>0</v>
      </c>
      <c r="P1070" s="6">
        <f>IF(O1070&gt;0,1,0)</f>
        <v>0</v>
      </c>
      <c r="Q1070" s="6">
        <v>0</v>
      </c>
      <c r="S1070" s="6">
        <v>75.7</v>
      </c>
      <c r="T1070" s="6">
        <f>IF(S1070="",MEDIAN($S$2:$S$1409),S1070)</f>
        <v>75.7</v>
      </c>
    </row>
    <row r="1071" spans="1:20" ht="15" customHeight="1">
      <c r="A1071" s="6" t="s">
        <v>1106</v>
      </c>
      <c r="B1071" s="7">
        <v>45727</v>
      </c>
      <c r="C1071" s="6" t="s">
        <v>727</v>
      </c>
      <c r="D1071" s="6" t="s">
        <v>27</v>
      </c>
      <c r="E1071" s="6" t="s">
        <v>23</v>
      </c>
      <c r="F1071" s="6" t="str">
        <f>IF(E1071="","Unknown",E1071)</f>
        <v>Desktop</v>
      </c>
      <c r="G1071" s="6" t="s">
        <v>33</v>
      </c>
      <c r="H1071" s="6" t="str">
        <f>IF(G1071="","Unknown",G1071)</f>
        <v>Paid Search</v>
      </c>
      <c r="I1071" s="6" t="s">
        <v>30</v>
      </c>
      <c r="J1071" s="6">
        <v>1</v>
      </c>
      <c r="K1071" s="6">
        <v>0</v>
      </c>
      <c r="L1071" s="6">
        <v>0</v>
      </c>
      <c r="M1071" s="6">
        <v>0</v>
      </c>
      <c r="N1071" s="6">
        <v>0</v>
      </c>
      <c r="O1071" s="6">
        <v>2</v>
      </c>
      <c r="P1071" s="6">
        <f>IF(O1071&gt;0,1,0)</f>
        <v>1</v>
      </c>
      <c r="Q1071" s="6">
        <v>0</v>
      </c>
      <c r="S1071" s="6">
        <v>48.6</v>
      </c>
      <c r="T1071" s="6">
        <f>IF(S1071="",MEDIAN($S$2:$S$1409),S1071)</f>
        <v>48.6</v>
      </c>
    </row>
    <row r="1072" spans="1:20" ht="15" customHeight="1">
      <c r="A1072" s="6" t="s">
        <v>1107</v>
      </c>
      <c r="B1072" s="7">
        <v>45758</v>
      </c>
      <c r="C1072" s="6" t="s">
        <v>727</v>
      </c>
      <c r="D1072" s="6" t="s">
        <v>32</v>
      </c>
      <c r="E1072" s="6" t="s">
        <v>38</v>
      </c>
      <c r="F1072" s="6" t="str">
        <f>IF(E1072="","Unknown",E1072)</f>
        <v>Tablet</v>
      </c>
      <c r="G1072" s="6" t="s">
        <v>43</v>
      </c>
      <c r="H1072" s="6" t="str">
        <f>IF(G1072="","Unknown",G1072)</f>
        <v>Referral</v>
      </c>
      <c r="I1072" s="6" t="s">
        <v>30</v>
      </c>
      <c r="J1072" s="6">
        <v>1</v>
      </c>
      <c r="K1072" s="6">
        <v>1</v>
      </c>
      <c r="L1072" s="6">
        <v>1</v>
      </c>
      <c r="M1072" s="6">
        <v>0</v>
      </c>
      <c r="N1072" s="6">
        <v>0</v>
      </c>
      <c r="O1072" s="6">
        <v>0</v>
      </c>
      <c r="P1072" s="6">
        <f>IF(O1072&gt;0,1,0)</f>
        <v>0</v>
      </c>
      <c r="Q1072" s="6">
        <v>0</v>
      </c>
      <c r="S1072" s="6">
        <v>72</v>
      </c>
      <c r="T1072" s="6">
        <f>IF(S1072="",MEDIAN($S$2:$S$1409),S1072)</f>
        <v>72</v>
      </c>
    </row>
    <row r="1073" spans="1:20" ht="15" customHeight="1">
      <c r="A1073" s="6" t="s">
        <v>1108</v>
      </c>
      <c r="B1073" s="7">
        <v>45727</v>
      </c>
      <c r="C1073" s="6" t="s">
        <v>727</v>
      </c>
      <c r="D1073" s="6" t="s">
        <v>22</v>
      </c>
      <c r="E1073" s="6" t="s">
        <v>28</v>
      </c>
      <c r="F1073" s="6" t="str">
        <f>IF(E1073="","Unknown",E1073)</f>
        <v>Mobile</v>
      </c>
      <c r="G1073" s="6" t="s">
        <v>29</v>
      </c>
      <c r="H1073" s="6" t="str">
        <f>IF(G1073="","Unknown",G1073)</f>
        <v>Organic</v>
      </c>
      <c r="I1073" s="6" t="s">
        <v>30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f>IF(O1073&gt;0,1,0)</f>
        <v>0</v>
      </c>
      <c r="Q1073" s="6">
        <v>0</v>
      </c>
      <c r="S1073" s="6">
        <v>72.2</v>
      </c>
      <c r="T1073" s="6">
        <f>IF(S1073="",MEDIAN($S$2:$S$1409),S1073)</f>
        <v>72.2</v>
      </c>
    </row>
    <row r="1074" spans="1:20" ht="15" customHeight="1">
      <c r="A1074" s="6" t="s">
        <v>1109</v>
      </c>
      <c r="B1074" s="7">
        <v>45799</v>
      </c>
      <c r="C1074" s="6" t="s">
        <v>727</v>
      </c>
      <c r="D1074" s="6" t="s">
        <v>32</v>
      </c>
      <c r="E1074" s="6" t="s">
        <v>28</v>
      </c>
      <c r="F1074" s="6" t="str">
        <f>IF(E1074="","Unknown",E1074)</f>
        <v>Mobile</v>
      </c>
      <c r="G1074" s="6" t="s">
        <v>43</v>
      </c>
      <c r="H1074" s="6" t="str">
        <f>IF(G1074="","Unknown",G1074)</f>
        <v>Referral</v>
      </c>
      <c r="I1074" s="6" t="s">
        <v>30</v>
      </c>
      <c r="J1074" s="6">
        <v>1</v>
      </c>
      <c r="K1074" s="6">
        <v>0</v>
      </c>
      <c r="L1074" s="6">
        <v>0</v>
      </c>
      <c r="M1074" s="6">
        <v>0</v>
      </c>
      <c r="N1074" s="6">
        <v>0</v>
      </c>
      <c r="O1074" s="6">
        <v>1</v>
      </c>
      <c r="P1074" s="6">
        <f>IF(O1074&gt;0,1,0)</f>
        <v>1</v>
      </c>
      <c r="Q1074" s="6">
        <v>0</v>
      </c>
      <c r="S1074" s="6"/>
      <c r="T1074" s="6">
        <f>IF(S1074="",MEDIAN($S$2:$S$1409),S1074)</f>
        <v>59.9</v>
      </c>
    </row>
    <row r="1075" spans="1:20" ht="15" customHeight="1">
      <c r="A1075" s="6" t="s">
        <v>1110</v>
      </c>
      <c r="B1075" s="7">
        <v>45710</v>
      </c>
      <c r="C1075" s="6" t="s">
        <v>727</v>
      </c>
      <c r="D1075" s="6" t="s">
        <v>36</v>
      </c>
      <c r="E1075" s="6" t="s">
        <v>23</v>
      </c>
      <c r="F1075" s="6" t="str">
        <f>IF(E1075="","Unknown",E1075)</f>
        <v>Desktop</v>
      </c>
      <c r="G1075" s="6" t="s">
        <v>29</v>
      </c>
      <c r="H1075" s="6" t="str">
        <f>IF(G1075="","Unknown",G1075)</f>
        <v>Organic</v>
      </c>
      <c r="I1075" s="6" t="s">
        <v>30</v>
      </c>
      <c r="J1075" s="6">
        <v>1</v>
      </c>
      <c r="K1075" s="6">
        <v>1</v>
      </c>
      <c r="L1075" s="6">
        <v>1</v>
      </c>
      <c r="M1075" s="6">
        <v>1</v>
      </c>
      <c r="N1075" s="6">
        <v>331.53</v>
      </c>
      <c r="O1075" s="6">
        <v>2</v>
      </c>
      <c r="P1075" s="6">
        <f>IF(O1075&gt;0,1,0)</f>
        <v>1</v>
      </c>
      <c r="Q1075" s="6">
        <v>0</v>
      </c>
      <c r="R1075" s="6">
        <v>4</v>
      </c>
      <c r="S1075" s="6">
        <v>56.8</v>
      </c>
      <c r="T1075" s="6">
        <f>IF(S1075="",MEDIAN($S$2:$S$1409),S1075)</f>
        <v>56.8</v>
      </c>
    </row>
    <row r="1076" spans="1:20" ht="15" customHeight="1">
      <c r="A1076" s="6" t="s">
        <v>1111</v>
      </c>
      <c r="B1076" s="7">
        <v>45670</v>
      </c>
      <c r="C1076" s="6" t="s">
        <v>727</v>
      </c>
      <c r="D1076" s="6" t="s">
        <v>32</v>
      </c>
      <c r="E1076" s="6" t="s">
        <v>28</v>
      </c>
      <c r="F1076" s="6" t="str">
        <f>IF(E1076="","Unknown",E1076)</f>
        <v>Mobile</v>
      </c>
      <c r="G1076" s="6" t="s">
        <v>33</v>
      </c>
      <c r="H1076" s="6" t="str">
        <f>IF(G1076="","Unknown",G1076)</f>
        <v>Paid Search</v>
      </c>
      <c r="I1076" s="6" t="s">
        <v>25</v>
      </c>
      <c r="J1076" s="6">
        <v>1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f>IF(O1076&gt;0,1,0)</f>
        <v>0</v>
      </c>
      <c r="Q1076" s="6">
        <v>0</v>
      </c>
      <c r="S1076" s="6">
        <v>62.5</v>
      </c>
      <c r="T1076" s="6">
        <f>IF(S1076="",MEDIAN($S$2:$S$1409),S1076)</f>
        <v>62.5</v>
      </c>
    </row>
    <row r="1077" spans="1:20" ht="15" customHeight="1">
      <c r="A1077" s="6" t="s">
        <v>1112</v>
      </c>
      <c r="B1077" s="7">
        <v>45796</v>
      </c>
      <c r="C1077" s="6" t="s">
        <v>727</v>
      </c>
      <c r="D1077" s="6" t="s">
        <v>36</v>
      </c>
      <c r="E1077" s="6" t="s">
        <v>28</v>
      </c>
      <c r="F1077" s="6" t="str">
        <f>IF(E1077="","Unknown",E1077)</f>
        <v>Mobile</v>
      </c>
      <c r="G1077" s="6" t="s">
        <v>29</v>
      </c>
      <c r="H1077" s="6" t="str">
        <f>IF(G1077="","Unknown",G1077)</f>
        <v>Organic</v>
      </c>
      <c r="I1077" s="6" t="s">
        <v>30</v>
      </c>
      <c r="J1077" s="6">
        <v>1</v>
      </c>
      <c r="K1077" s="6">
        <v>0</v>
      </c>
      <c r="L1077" s="6">
        <v>0</v>
      </c>
      <c r="M1077" s="6">
        <v>0</v>
      </c>
      <c r="N1077" s="6">
        <v>0</v>
      </c>
      <c r="O1077" s="6">
        <v>0</v>
      </c>
      <c r="P1077" s="6">
        <f>IF(O1077&gt;0,1,0)</f>
        <v>0</v>
      </c>
      <c r="Q1077" s="6">
        <v>0</v>
      </c>
      <c r="S1077" s="6">
        <v>63.4</v>
      </c>
      <c r="T1077" s="6">
        <f>IF(S1077="",MEDIAN($S$2:$S$1409),S1077)</f>
        <v>63.4</v>
      </c>
    </row>
    <row r="1078" spans="1:20" ht="15" customHeight="1">
      <c r="A1078" s="6" t="s">
        <v>1113</v>
      </c>
      <c r="B1078" s="7">
        <v>45724</v>
      </c>
      <c r="C1078" s="6" t="s">
        <v>727</v>
      </c>
      <c r="D1078" s="6" t="s">
        <v>22</v>
      </c>
      <c r="E1078" s="6" t="s">
        <v>38</v>
      </c>
      <c r="F1078" s="6" t="str">
        <f>IF(E1078="","Unknown",E1078)</f>
        <v>Tablet</v>
      </c>
      <c r="G1078" s="6" t="s">
        <v>29</v>
      </c>
      <c r="H1078" s="6" t="str">
        <f>IF(G1078="","Unknown",G1078)</f>
        <v>Organic</v>
      </c>
      <c r="I1078" s="6" t="s">
        <v>25</v>
      </c>
      <c r="J1078" s="6">
        <v>1</v>
      </c>
      <c r="K1078" s="6">
        <v>1</v>
      </c>
      <c r="L1078" s="6">
        <v>1</v>
      </c>
      <c r="M1078" s="6">
        <v>1</v>
      </c>
      <c r="N1078" s="6">
        <v>774.78</v>
      </c>
      <c r="O1078" s="6">
        <v>0</v>
      </c>
      <c r="P1078" s="6">
        <f>IF(O1078&gt;0,1,0)</f>
        <v>0</v>
      </c>
      <c r="Q1078" s="6">
        <v>0</v>
      </c>
      <c r="R1078" s="6">
        <v>3</v>
      </c>
      <c r="S1078" s="6">
        <v>46.8</v>
      </c>
      <c r="T1078" s="6">
        <f>IF(S1078="",MEDIAN($S$2:$S$1409),S1078)</f>
        <v>46.8</v>
      </c>
    </row>
    <row r="1079" spans="1:20" ht="15" customHeight="1">
      <c r="A1079" s="6" t="s">
        <v>1114</v>
      </c>
      <c r="B1079" s="7">
        <v>45767</v>
      </c>
      <c r="C1079" s="6" t="s">
        <v>727</v>
      </c>
      <c r="D1079" s="6" t="s">
        <v>36</v>
      </c>
      <c r="E1079" s="6" t="s">
        <v>28</v>
      </c>
      <c r="F1079" s="6" t="str">
        <f>IF(E1079="","Unknown",E1079)</f>
        <v>Mobile</v>
      </c>
      <c r="G1079" s="6" t="s">
        <v>29</v>
      </c>
      <c r="H1079" s="6" t="str">
        <f>IF(G1079="","Unknown",G1079)</f>
        <v>Organic</v>
      </c>
      <c r="I1079" s="6" t="s">
        <v>30</v>
      </c>
      <c r="J1079" s="6">
        <v>1</v>
      </c>
      <c r="K1079" s="6">
        <v>1</v>
      </c>
      <c r="L1079" s="6">
        <v>1</v>
      </c>
      <c r="M1079" s="6">
        <v>1</v>
      </c>
      <c r="N1079" s="6">
        <v>422.02</v>
      </c>
      <c r="O1079" s="6">
        <v>0</v>
      </c>
      <c r="P1079" s="6">
        <f>IF(O1079&gt;0,1,0)</f>
        <v>0</v>
      </c>
      <c r="Q1079" s="6">
        <v>0</v>
      </c>
      <c r="R1079" s="6">
        <v>8</v>
      </c>
      <c r="S1079" s="6">
        <v>86.5</v>
      </c>
      <c r="T1079" s="6">
        <f>IF(S1079="",MEDIAN($S$2:$S$1409),S1079)</f>
        <v>86.5</v>
      </c>
    </row>
    <row r="1080" spans="1:20" ht="15" customHeight="1">
      <c r="A1080" s="6" t="s">
        <v>1115</v>
      </c>
      <c r="B1080" s="7">
        <v>45785</v>
      </c>
      <c r="C1080" s="6" t="s">
        <v>727</v>
      </c>
      <c r="D1080" s="6" t="s">
        <v>27</v>
      </c>
      <c r="E1080" s="6" t="s">
        <v>28</v>
      </c>
      <c r="F1080" s="6" t="str">
        <f>IF(E1080="","Unknown",E1080)</f>
        <v>Mobile</v>
      </c>
      <c r="G1080" s="6" t="s">
        <v>24</v>
      </c>
      <c r="H1080" s="6" t="str">
        <f>IF(G1080="","Unknown",G1080)</f>
        <v>Email</v>
      </c>
      <c r="I1080" s="6" t="s">
        <v>25</v>
      </c>
      <c r="J1080" s="6">
        <v>0</v>
      </c>
      <c r="K1080" s="6">
        <v>0</v>
      </c>
      <c r="L1080" s="6">
        <v>0</v>
      </c>
      <c r="M1080" s="6">
        <v>0</v>
      </c>
      <c r="N1080" s="6">
        <v>0</v>
      </c>
      <c r="O1080" s="6">
        <v>1</v>
      </c>
      <c r="P1080" s="6">
        <f>IF(O1080&gt;0,1,0)</f>
        <v>1</v>
      </c>
      <c r="Q1080" s="6">
        <v>0</v>
      </c>
      <c r="S1080" s="6">
        <v>75.099999999999994</v>
      </c>
      <c r="T1080" s="6">
        <f>IF(S1080="",MEDIAN($S$2:$S$1409),S1080)</f>
        <v>75.099999999999994</v>
      </c>
    </row>
    <row r="1081" spans="1:20" ht="15" customHeight="1">
      <c r="A1081" s="6" t="s">
        <v>1116</v>
      </c>
      <c r="B1081" s="7">
        <v>45787</v>
      </c>
      <c r="C1081" s="6" t="s">
        <v>727</v>
      </c>
      <c r="D1081" s="6" t="s">
        <v>36</v>
      </c>
      <c r="E1081" s="6" t="s">
        <v>28</v>
      </c>
      <c r="F1081" s="6" t="str">
        <f>IF(E1081="","Unknown",E1081)</f>
        <v>Mobile</v>
      </c>
      <c r="G1081" s="6" t="s">
        <v>29</v>
      </c>
      <c r="H1081" s="6" t="str">
        <f>IF(G1081="","Unknown",G1081)</f>
        <v>Organic</v>
      </c>
      <c r="I1081" s="6" t="s">
        <v>25</v>
      </c>
      <c r="J1081" s="6">
        <v>1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f>IF(O1081&gt;0,1,0)</f>
        <v>0</v>
      </c>
      <c r="Q1081" s="6">
        <v>0</v>
      </c>
      <c r="S1081" s="6">
        <v>64.5</v>
      </c>
      <c r="T1081" s="6">
        <f>IF(S1081="",MEDIAN($S$2:$S$1409),S1081)</f>
        <v>64.5</v>
      </c>
    </row>
    <row r="1082" spans="1:20" ht="15" customHeight="1">
      <c r="A1082" s="6" t="s">
        <v>1117</v>
      </c>
      <c r="B1082" s="7">
        <v>45744</v>
      </c>
      <c r="C1082" s="6" t="s">
        <v>727</v>
      </c>
      <c r="D1082" s="6" t="s">
        <v>32</v>
      </c>
      <c r="E1082" s="6" t="s">
        <v>28</v>
      </c>
      <c r="F1082" s="6" t="str">
        <f>IF(E1082="","Unknown",E1082)</f>
        <v>Mobile</v>
      </c>
      <c r="G1082" s="6" t="s">
        <v>29</v>
      </c>
      <c r="H1082" s="6" t="str">
        <f>IF(G1082="","Unknown",G1082)</f>
        <v>Organic</v>
      </c>
      <c r="I1082" s="6" t="s">
        <v>30</v>
      </c>
      <c r="J1082" s="6">
        <v>1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f>IF(O1082&gt;0,1,0)</f>
        <v>0</v>
      </c>
      <c r="Q1082" s="6">
        <v>0</v>
      </c>
      <c r="S1082" s="6">
        <v>54.2</v>
      </c>
      <c r="T1082" s="6">
        <f>IF(S1082="",MEDIAN($S$2:$S$1409),S1082)</f>
        <v>54.2</v>
      </c>
    </row>
    <row r="1083" spans="1:20" ht="15" customHeight="1">
      <c r="A1083" s="6" t="s">
        <v>1118</v>
      </c>
      <c r="B1083" s="7">
        <v>45777</v>
      </c>
      <c r="C1083" s="6" t="s">
        <v>727</v>
      </c>
      <c r="D1083" s="6" t="s">
        <v>32</v>
      </c>
      <c r="E1083" s="6" t="s">
        <v>28</v>
      </c>
      <c r="F1083" s="6" t="str">
        <f>IF(E1083="","Unknown",E1083)</f>
        <v>Mobile</v>
      </c>
      <c r="G1083" s="6" t="s">
        <v>33</v>
      </c>
      <c r="H1083" s="6" t="str">
        <f>IF(G1083="","Unknown",G1083)</f>
        <v>Paid Search</v>
      </c>
      <c r="I1083" s="6" t="s">
        <v>34</v>
      </c>
      <c r="J1083" s="6">
        <v>1</v>
      </c>
      <c r="K1083" s="6">
        <v>1</v>
      </c>
      <c r="L1083" s="6">
        <v>1</v>
      </c>
      <c r="M1083" s="6">
        <v>0</v>
      </c>
      <c r="N1083" s="6">
        <v>0</v>
      </c>
      <c r="O1083" s="6">
        <v>0</v>
      </c>
      <c r="P1083" s="6">
        <f>IF(O1083&gt;0,1,0)</f>
        <v>0</v>
      </c>
      <c r="Q1083" s="6">
        <v>0</v>
      </c>
      <c r="S1083" s="6">
        <v>84.1</v>
      </c>
      <c r="T1083" s="6">
        <f>IF(S1083="",MEDIAN($S$2:$S$1409),S1083)</f>
        <v>84.1</v>
      </c>
    </row>
    <row r="1084" spans="1:20" ht="15" customHeight="1">
      <c r="A1084" s="6" t="s">
        <v>1119</v>
      </c>
      <c r="B1084" s="7">
        <v>45696</v>
      </c>
      <c r="C1084" s="6" t="s">
        <v>727</v>
      </c>
      <c r="D1084" s="6" t="s">
        <v>22</v>
      </c>
      <c r="E1084" s="6" t="s">
        <v>28</v>
      </c>
      <c r="F1084" s="6" t="str">
        <f>IF(E1084="","Unknown",E1084)</f>
        <v>Mobile</v>
      </c>
      <c r="G1084" s="6" t="s">
        <v>29</v>
      </c>
      <c r="H1084" s="6" t="str">
        <f>IF(G1084="","Unknown",G1084)</f>
        <v>Organic</v>
      </c>
      <c r="I1084" s="6" t="s">
        <v>25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1</v>
      </c>
      <c r="P1084" s="6">
        <f>IF(O1084&gt;0,1,0)</f>
        <v>1</v>
      </c>
      <c r="Q1084" s="6">
        <v>0</v>
      </c>
      <c r="S1084" s="6">
        <v>49.1</v>
      </c>
      <c r="T1084" s="6">
        <f>IF(S1084="",MEDIAN($S$2:$S$1409),S1084)</f>
        <v>49.1</v>
      </c>
    </row>
    <row r="1085" spans="1:20" ht="15" customHeight="1">
      <c r="A1085" s="6" t="s">
        <v>1120</v>
      </c>
      <c r="B1085" s="7">
        <v>45723</v>
      </c>
      <c r="C1085" s="6" t="s">
        <v>727</v>
      </c>
      <c r="D1085" s="6" t="s">
        <v>36</v>
      </c>
      <c r="E1085" s="6" t="s">
        <v>28</v>
      </c>
      <c r="F1085" s="6" t="str">
        <f>IF(E1085="","Unknown",E1085)</f>
        <v>Mobile</v>
      </c>
      <c r="G1085" s="6" t="s">
        <v>43</v>
      </c>
      <c r="H1085" s="6" t="str">
        <f>IF(G1085="","Unknown",G1085)</f>
        <v>Referral</v>
      </c>
      <c r="I1085" s="6" t="s">
        <v>34</v>
      </c>
      <c r="J1085" s="6">
        <v>0</v>
      </c>
      <c r="K1085" s="6">
        <v>0</v>
      </c>
      <c r="L1085" s="6">
        <v>0</v>
      </c>
      <c r="M1085" s="6">
        <v>0</v>
      </c>
      <c r="N1085" s="6">
        <v>0</v>
      </c>
      <c r="O1085" s="6">
        <v>0</v>
      </c>
      <c r="P1085" s="6">
        <f>IF(O1085&gt;0,1,0)</f>
        <v>0</v>
      </c>
      <c r="Q1085" s="6">
        <v>0</v>
      </c>
      <c r="S1085" s="6">
        <v>92.7</v>
      </c>
      <c r="T1085" s="6">
        <f>IF(S1085="",MEDIAN($S$2:$S$1409),S1085)</f>
        <v>92.7</v>
      </c>
    </row>
    <row r="1086" spans="1:20" ht="15" customHeight="1">
      <c r="A1086" s="6" t="s">
        <v>1121</v>
      </c>
      <c r="B1086" s="7">
        <v>45798</v>
      </c>
      <c r="C1086" s="6" t="s">
        <v>727</v>
      </c>
      <c r="D1086" s="6" t="s">
        <v>36</v>
      </c>
      <c r="E1086" s="6" t="s">
        <v>28</v>
      </c>
      <c r="F1086" s="6" t="str">
        <f>IF(E1086="","Unknown",E1086)</f>
        <v>Mobile</v>
      </c>
      <c r="G1086" s="6" t="s">
        <v>45</v>
      </c>
      <c r="H1086" s="6" t="str">
        <f>IF(G1086="","Unknown",G1086)</f>
        <v>Social</v>
      </c>
      <c r="I1086" s="6" t="s">
        <v>25</v>
      </c>
      <c r="J1086" s="6">
        <v>1</v>
      </c>
      <c r="K1086" s="6">
        <v>1</v>
      </c>
      <c r="L1086" s="6">
        <v>1</v>
      </c>
      <c r="M1086" s="6">
        <v>0</v>
      </c>
      <c r="N1086" s="6">
        <v>0</v>
      </c>
      <c r="O1086" s="6">
        <v>1</v>
      </c>
      <c r="P1086" s="6">
        <f>IF(O1086&gt;0,1,0)</f>
        <v>1</v>
      </c>
      <c r="Q1086" s="6">
        <v>0</v>
      </c>
      <c r="S1086" s="6">
        <v>58.7</v>
      </c>
      <c r="T1086" s="6">
        <f>IF(S1086="",MEDIAN($S$2:$S$1409),S1086)</f>
        <v>58.7</v>
      </c>
    </row>
    <row r="1087" spans="1:20" ht="15" customHeight="1">
      <c r="A1087" s="6" t="s">
        <v>1122</v>
      </c>
      <c r="B1087" s="7">
        <v>45759</v>
      </c>
      <c r="C1087" s="6" t="s">
        <v>727</v>
      </c>
      <c r="D1087" s="6" t="s">
        <v>36</v>
      </c>
      <c r="E1087" s="6" t="s">
        <v>28</v>
      </c>
      <c r="F1087" s="6" t="str">
        <f>IF(E1087="","Unknown",E1087)</f>
        <v>Mobile</v>
      </c>
      <c r="G1087" s="6" t="s">
        <v>45</v>
      </c>
      <c r="H1087" s="6" t="str">
        <f>IF(G1087="","Unknown",G1087)</f>
        <v>Social</v>
      </c>
      <c r="I1087" s="6" t="s">
        <v>30</v>
      </c>
      <c r="J1087" s="6">
        <v>1</v>
      </c>
      <c r="K1087" s="6">
        <v>1</v>
      </c>
      <c r="L1087" s="6">
        <v>1</v>
      </c>
      <c r="M1087" s="6">
        <v>0</v>
      </c>
      <c r="N1087" s="6">
        <v>0</v>
      </c>
      <c r="O1087" s="6">
        <v>0</v>
      </c>
      <c r="P1087" s="6">
        <f>IF(O1087&gt;0,1,0)</f>
        <v>0</v>
      </c>
      <c r="Q1087" s="6">
        <v>0</v>
      </c>
      <c r="S1087" s="6">
        <v>59.3</v>
      </c>
      <c r="T1087" s="6">
        <f>IF(S1087="",MEDIAN($S$2:$S$1409),S1087)</f>
        <v>59.3</v>
      </c>
    </row>
    <row r="1088" spans="1:20" ht="15" customHeight="1">
      <c r="A1088" s="6" t="s">
        <v>1123</v>
      </c>
      <c r="B1088" s="7">
        <v>45690</v>
      </c>
      <c r="C1088" s="6" t="s">
        <v>727</v>
      </c>
      <c r="D1088" s="6" t="s">
        <v>36</v>
      </c>
      <c r="E1088" s="6" t="s">
        <v>28</v>
      </c>
      <c r="F1088" s="6" t="str">
        <f>IF(E1088="","Unknown",E1088)</f>
        <v>Mobile</v>
      </c>
      <c r="G1088" s="6" t="s">
        <v>33</v>
      </c>
      <c r="H1088" s="6" t="str">
        <f>IF(G1088="","Unknown",G1088)</f>
        <v>Paid Search</v>
      </c>
      <c r="I1088" s="6" t="s">
        <v>30</v>
      </c>
      <c r="J1088" s="6">
        <v>1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f>IF(O1088&gt;0,1,0)</f>
        <v>0</v>
      </c>
      <c r="Q1088" s="6">
        <v>0</v>
      </c>
      <c r="S1088" s="6">
        <v>62</v>
      </c>
      <c r="T1088" s="6">
        <f>IF(S1088="",MEDIAN($S$2:$S$1409),S1088)</f>
        <v>62</v>
      </c>
    </row>
    <row r="1089" spans="1:20" ht="15" customHeight="1">
      <c r="A1089" s="6" t="s">
        <v>1124</v>
      </c>
      <c r="B1089" s="7">
        <v>45769</v>
      </c>
      <c r="C1089" s="6" t="s">
        <v>727</v>
      </c>
      <c r="D1089" s="6" t="s">
        <v>22</v>
      </c>
      <c r="E1089" s="6" t="s">
        <v>38</v>
      </c>
      <c r="F1089" s="6" t="str">
        <f>IF(E1089="","Unknown",E1089)</f>
        <v>Tablet</v>
      </c>
      <c r="G1089" s="6" t="s">
        <v>43</v>
      </c>
      <c r="H1089" s="6" t="str">
        <f>IF(G1089="","Unknown",G1089)</f>
        <v>Referral</v>
      </c>
      <c r="I1089" s="6" t="s">
        <v>30</v>
      </c>
      <c r="J1089" s="6">
        <v>1</v>
      </c>
      <c r="K1089" s="6">
        <v>1</v>
      </c>
      <c r="L1089" s="6">
        <v>1</v>
      </c>
      <c r="M1089" s="6">
        <v>0</v>
      </c>
      <c r="N1089" s="6">
        <v>0</v>
      </c>
      <c r="O1089" s="6">
        <v>1</v>
      </c>
      <c r="P1089" s="6">
        <f>IF(O1089&gt;0,1,0)</f>
        <v>1</v>
      </c>
      <c r="Q1089" s="6">
        <v>0</v>
      </c>
      <c r="S1089" s="6">
        <v>60.3</v>
      </c>
      <c r="T1089" s="6">
        <f>IF(S1089="",MEDIAN($S$2:$S$1409),S1089)</f>
        <v>60.3</v>
      </c>
    </row>
    <row r="1090" spans="1:20" ht="15" customHeight="1">
      <c r="A1090" s="6" t="s">
        <v>1125</v>
      </c>
      <c r="B1090" s="7">
        <v>45696</v>
      </c>
      <c r="C1090" s="6" t="s">
        <v>727</v>
      </c>
      <c r="D1090" s="6" t="s">
        <v>22</v>
      </c>
      <c r="E1090" s="6" t="s">
        <v>28</v>
      </c>
      <c r="F1090" s="6" t="str">
        <f>IF(E1090="","Unknown",E1090)</f>
        <v>Mobile</v>
      </c>
      <c r="G1090" s="6" t="s">
        <v>45</v>
      </c>
      <c r="H1090" s="6" t="str">
        <f>IF(G1090="","Unknown",G1090)</f>
        <v>Social</v>
      </c>
      <c r="I1090" s="6" t="s">
        <v>25</v>
      </c>
      <c r="J1090" s="6">
        <v>1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f>IF(O1090&gt;0,1,0)</f>
        <v>0</v>
      </c>
      <c r="Q1090" s="6">
        <v>0</v>
      </c>
      <c r="S1090" s="6">
        <v>70.5</v>
      </c>
      <c r="T1090" s="6">
        <f>IF(S1090="",MEDIAN($S$2:$S$1409),S1090)</f>
        <v>70.5</v>
      </c>
    </row>
    <row r="1091" spans="1:20" ht="15" customHeight="1">
      <c r="A1091" s="6" t="s">
        <v>1126</v>
      </c>
      <c r="B1091" s="7">
        <v>45681</v>
      </c>
      <c r="C1091" s="6" t="s">
        <v>727</v>
      </c>
      <c r="D1091" s="6" t="s">
        <v>36</v>
      </c>
      <c r="E1091" s="6" t="s">
        <v>23</v>
      </c>
      <c r="F1091" s="6" t="str">
        <f>IF(E1091="","Unknown",E1091)</f>
        <v>Desktop</v>
      </c>
      <c r="G1091" s="6" t="s">
        <v>24</v>
      </c>
      <c r="H1091" s="6" t="str">
        <f>IF(G1091="","Unknown",G1091)</f>
        <v>Email</v>
      </c>
      <c r="I1091" s="6" t="s">
        <v>30</v>
      </c>
      <c r="J1091" s="6">
        <v>1</v>
      </c>
      <c r="K1091" s="6">
        <v>0</v>
      </c>
      <c r="L1091" s="6">
        <v>0</v>
      </c>
      <c r="M1091" s="6">
        <v>0</v>
      </c>
      <c r="N1091" s="6">
        <v>0</v>
      </c>
      <c r="O1091" s="6">
        <v>0</v>
      </c>
      <c r="P1091" s="6">
        <f>IF(O1091&gt;0,1,0)</f>
        <v>0</v>
      </c>
      <c r="Q1091" s="6">
        <v>0</v>
      </c>
      <c r="S1091" s="6">
        <v>36.799999999999997</v>
      </c>
      <c r="T1091" s="6">
        <f>IF(S1091="",MEDIAN($S$2:$S$1409),S1091)</f>
        <v>36.799999999999997</v>
      </c>
    </row>
    <row r="1092" spans="1:20" ht="15" customHeight="1">
      <c r="A1092" s="6" t="s">
        <v>1127</v>
      </c>
      <c r="B1092" s="7">
        <v>45789</v>
      </c>
      <c r="C1092" s="6" t="s">
        <v>727</v>
      </c>
      <c r="D1092" s="6" t="s">
        <v>36</v>
      </c>
      <c r="E1092" s="6" t="s">
        <v>28</v>
      </c>
      <c r="F1092" s="6" t="str">
        <f>IF(E1092="","Unknown",E1092)</f>
        <v>Mobile</v>
      </c>
      <c r="G1092" s="6" t="s">
        <v>33</v>
      </c>
      <c r="H1092" s="6" t="str">
        <f>IF(G1092="","Unknown",G1092)</f>
        <v>Paid Search</v>
      </c>
      <c r="I1092" s="6" t="s">
        <v>25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1</v>
      </c>
      <c r="P1092" s="6">
        <f>IF(O1092&gt;0,1,0)</f>
        <v>1</v>
      </c>
      <c r="Q1092" s="6">
        <v>0</v>
      </c>
      <c r="S1092" s="6">
        <v>73.2</v>
      </c>
      <c r="T1092" s="6">
        <f>IF(S1092="",MEDIAN($S$2:$S$1409),S1092)</f>
        <v>73.2</v>
      </c>
    </row>
    <row r="1093" spans="1:20" ht="15" customHeight="1">
      <c r="A1093" s="6" t="s">
        <v>1128</v>
      </c>
      <c r="B1093" s="7">
        <v>45746</v>
      </c>
      <c r="C1093" s="6" t="s">
        <v>727</v>
      </c>
      <c r="D1093" s="6" t="s">
        <v>22</v>
      </c>
      <c r="E1093" s="6" t="s">
        <v>28</v>
      </c>
      <c r="F1093" s="6" t="str">
        <f>IF(E1093="","Unknown",E1093)</f>
        <v>Mobile</v>
      </c>
      <c r="G1093" s="6" t="s">
        <v>29</v>
      </c>
      <c r="H1093" s="6" t="str">
        <f>IF(G1093="","Unknown",G1093)</f>
        <v>Organic</v>
      </c>
      <c r="I1093" s="6" t="s">
        <v>25</v>
      </c>
      <c r="J1093" s="6">
        <v>0</v>
      </c>
      <c r="K1093" s="6">
        <v>0</v>
      </c>
      <c r="L1093" s="6">
        <v>0</v>
      </c>
      <c r="M1093" s="6">
        <v>0</v>
      </c>
      <c r="N1093" s="6">
        <v>0</v>
      </c>
      <c r="O1093" s="6">
        <v>0</v>
      </c>
      <c r="P1093" s="6">
        <f>IF(O1093&gt;0,1,0)</f>
        <v>0</v>
      </c>
      <c r="Q1093" s="6">
        <v>0</v>
      </c>
      <c r="S1093" s="6">
        <v>70.099999999999994</v>
      </c>
      <c r="T1093" s="6">
        <f>IF(S1093="",MEDIAN($S$2:$S$1409),S1093)</f>
        <v>70.099999999999994</v>
      </c>
    </row>
    <row r="1094" spans="1:20" ht="15" customHeight="1">
      <c r="A1094" s="6" t="s">
        <v>1129</v>
      </c>
      <c r="B1094" s="7">
        <v>45659</v>
      </c>
      <c r="C1094" s="6" t="s">
        <v>727</v>
      </c>
      <c r="D1094" s="6" t="s">
        <v>36</v>
      </c>
      <c r="E1094" s="6" t="s">
        <v>23</v>
      </c>
      <c r="F1094" s="6" t="str">
        <f>IF(E1094="","Unknown",E1094)</f>
        <v>Desktop</v>
      </c>
      <c r="G1094" s="6" t="s">
        <v>33</v>
      </c>
      <c r="H1094" s="6" t="str">
        <f>IF(G1094="","Unknown",G1094)</f>
        <v>Paid Search</v>
      </c>
      <c r="I1094" s="6" t="s">
        <v>25</v>
      </c>
      <c r="J1094" s="6">
        <v>1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f>IF(O1094&gt;0,1,0)</f>
        <v>0</v>
      </c>
      <c r="Q1094" s="6">
        <v>0</v>
      </c>
      <c r="S1094" s="6">
        <v>76.400000000000006</v>
      </c>
      <c r="T1094" s="6">
        <f>IF(S1094="",MEDIAN($S$2:$S$1409),S1094)</f>
        <v>76.400000000000006</v>
      </c>
    </row>
    <row r="1095" spans="1:20" ht="15" customHeight="1">
      <c r="A1095" s="6" t="s">
        <v>1130</v>
      </c>
      <c r="B1095" s="7">
        <v>45737</v>
      </c>
      <c r="C1095" s="6" t="s">
        <v>727</v>
      </c>
      <c r="D1095" s="6" t="s">
        <v>36</v>
      </c>
      <c r="E1095" s="6" t="s">
        <v>38</v>
      </c>
      <c r="F1095" s="6" t="str">
        <f>IF(E1095="","Unknown",E1095)</f>
        <v>Tablet</v>
      </c>
      <c r="G1095" s="6" t="s">
        <v>24</v>
      </c>
      <c r="H1095" s="6" t="str">
        <f>IF(G1095="","Unknown",G1095)</f>
        <v>Email</v>
      </c>
      <c r="I1095" s="6" t="s">
        <v>25</v>
      </c>
      <c r="J1095" s="6">
        <v>0</v>
      </c>
      <c r="K1095" s="6">
        <v>0</v>
      </c>
      <c r="L1095" s="6">
        <v>0</v>
      </c>
      <c r="M1095" s="6">
        <v>0</v>
      </c>
      <c r="N1095" s="6">
        <v>0</v>
      </c>
      <c r="O1095" s="6">
        <v>0</v>
      </c>
      <c r="P1095" s="6">
        <f>IF(O1095&gt;0,1,0)</f>
        <v>0</v>
      </c>
      <c r="Q1095" s="6">
        <v>0</v>
      </c>
      <c r="S1095" s="6">
        <v>46.4</v>
      </c>
      <c r="T1095" s="6">
        <f>IF(S1095="",MEDIAN($S$2:$S$1409),S1095)</f>
        <v>46.4</v>
      </c>
    </row>
    <row r="1096" spans="1:20" ht="15" customHeight="1">
      <c r="A1096" s="6" t="s">
        <v>1131</v>
      </c>
      <c r="B1096" s="7">
        <v>45682</v>
      </c>
      <c r="C1096" s="6" t="s">
        <v>727</v>
      </c>
      <c r="D1096" s="6" t="s">
        <v>27</v>
      </c>
      <c r="E1096" s="6" t="s">
        <v>28</v>
      </c>
      <c r="F1096" s="6" t="str">
        <f>IF(E1096="","Unknown",E1096)</f>
        <v>Mobile</v>
      </c>
      <c r="G1096" s="6" t="s">
        <v>29</v>
      </c>
      <c r="H1096" s="6" t="str">
        <f>IF(G1096="","Unknown",G1096)</f>
        <v>Organic</v>
      </c>
      <c r="I1096" s="6" t="s">
        <v>30</v>
      </c>
      <c r="J1096" s="6">
        <v>1</v>
      </c>
      <c r="K1096" s="6">
        <v>1</v>
      </c>
      <c r="L1096" s="6">
        <v>1</v>
      </c>
      <c r="M1096" s="6">
        <v>0</v>
      </c>
      <c r="N1096" s="6">
        <v>0</v>
      </c>
      <c r="O1096" s="6">
        <v>1</v>
      </c>
      <c r="P1096" s="6">
        <f>IF(O1096&gt;0,1,0)</f>
        <v>1</v>
      </c>
      <c r="Q1096" s="6">
        <v>0</v>
      </c>
      <c r="S1096" s="6">
        <v>81.3</v>
      </c>
      <c r="T1096" s="6">
        <f>IF(S1096="",MEDIAN($S$2:$S$1409),S1096)</f>
        <v>81.3</v>
      </c>
    </row>
    <row r="1097" spans="1:20" ht="15" customHeight="1">
      <c r="A1097" s="6" t="s">
        <v>1132</v>
      </c>
      <c r="B1097" s="7">
        <v>45669</v>
      </c>
      <c r="C1097" s="6" t="s">
        <v>727</v>
      </c>
      <c r="D1097" s="6" t="s">
        <v>36</v>
      </c>
      <c r="E1097" s="6" t="s">
        <v>38</v>
      </c>
      <c r="F1097" s="6" t="str">
        <f>IF(E1097="","Unknown",E1097)</f>
        <v>Tablet</v>
      </c>
      <c r="G1097" s="6" t="s">
        <v>45</v>
      </c>
      <c r="H1097" s="6" t="str">
        <f>IF(G1097="","Unknown",G1097)</f>
        <v>Social</v>
      </c>
      <c r="I1097" s="6" t="s">
        <v>30</v>
      </c>
      <c r="J1097" s="6">
        <v>1</v>
      </c>
      <c r="K1097" s="6">
        <v>1</v>
      </c>
      <c r="L1097" s="6">
        <v>1</v>
      </c>
      <c r="M1097" s="6">
        <v>0</v>
      </c>
      <c r="N1097" s="6">
        <v>0</v>
      </c>
      <c r="O1097" s="6">
        <v>0</v>
      </c>
      <c r="P1097" s="6">
        <f>IF(O1097&gt;0,1,0)</f>
        <v>0</v>
      </c>
      <c r="Q1097" s="6">
        <v>0</v>
      </c>
      <c r="S1097" s="6">
        <v>55.3</v>
      </c>
      <c r="T1097" s="6">
        <f>IF(S1097="",MEDIAN($S$2:$S$1409),S1097)</f>
        <v>55.3</v>
      </c>
    </row>
    <row r="1098" spans="1:20" ht="15" customHeight="1">
      <c r="A1098" s="6" t="s">
        <v>1133</v>
      </c>
      <c r="B1098" s="7">
        <v>45734</v>
      </c>
      <c r="C1098" s="6" t="s">
        <v>727</v>
      </c>
      <c r="D1098" s="6" t="s">
        <v>32</v>
      </c>
      <c r="E1098" s="6" t="s">
        <v>23</v>
      </c>
      <c r="F1098" s="6" t="str">
        <f>IF(E1098="","Unknown",E1098)</f>
        <v>Desktop</v>
      </c>
      <c r="G1098" s="6" t="s">
        <v>43</v>
      </c>
      <c r="H1098" s="6" t="str">
        <f>IF(G1098="","Unknown",G1098)</f>
        <v>Referral</v>
      </c>
      <c r="I1098" s="6" t="s">
        <v>30</v>
      </c>
      <c r="J1098" s="6">
        <v>1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f>IF(O1098&gt;0,1,0)</f>
        <v>0</v>
      </c>
      <c r="Q1098" s="6">
        <v>0</v>
      </c>
      <c r="S1098" s="6">
        <v>44.7</v>
      </c>
      <c r="T1098" s="6">
        <f>IF(S1098="",MEDIAN($S$2:$S$1409),S1098)</f>
        <v>44.7</v>
      </c>
    </row>
    <row r="1099" spans="1:20" ht="15" customHeight="1">
      <c r="A1099" s="6" t="s">
        <v>1134</v>
      </c>
      <c r="B1099" s="7">
        <v>45742</v>
      </c>
      <c r="C1099" s="6" t="s">
        <v>727</v>
      </c>
      <c r="D1099" s="6" t="s">
        <v>32</v>
      </c>
      <c r="E1099" s="6" t="s">
        <v>28</v>
      </c>
      <c r="F1099" s="6" t="str">
        <f>IF(E1099="","Unknown",E1099)</f>
        <v>Mobile</v>
      </c>
      <c r="G1099" s="6" t="s">
        <v>33</v>
      </c>
      <c r="H1099" s="6" t="str">
        <f>IF(G1099="","Unknown",G1099)</f>
        <v>Paid Search</v>
      </c>
      <c r="I1099" s="6" t="s">
        <v>25</v>
      </c>
      <c r="J1099" s="6">
        <v>1</v>
      </c>
      <c r="K1099" s="6">
        <v>0</v>
      </c>
      <c r="L1099" s="6">
        <v>0</v>
      </c>
      <c r="M1099" s="6">
        <v>0</v>
      </c>
      <c r="N1099" s="6">
        <v>0</v>
      </c>
      <c r="O1099" s="6">
        <v>0</v>
      </c>
      <c r="P1099" s="6">
        <f>IF(O1099&gt;0,1,0)</f>
        <v>0</v>
      </c>
      <c r="Q1099" s="6">
        <v>0</v>
      </c>
      <c r="S1099" s="6">
        <v>67.2</v>
      </c>
      <c r="T1099" s="6">
        <f>IF(S1099="",MEDIAN($S$2:$S$1409),S1099)</f>
        <v>67.2</v>
      </c>
    </row>
    <row r="1100" spans="1:20" ht="15" customHeight="1">
      <c r="A1100" s="6" t="s">
        <v>1135</v>
      </c>
      <c r="B1100" s="7">
        <v>45766</v>
      </c>
      <c r="C1100" s="6" t="s">
        <v>727</v>
      </c>
      <c r="D1100" s="6" t="s">
        <v>22</v>
      </c>
      <c r="E1100" s="6" t="s">
        <v>28</v>
      </c>
      <c r="F1100" s="6" t="str">
        <f>IF(E1100="","Unknown",E1100)</f>
        <v>Mobile</v>
      </c>
      <c r="G1100" s="6" t="s">
        <v>33</v>
      </c>
      <c r="H1100" s="6" t="str">
        <f>IF(G1100="","Unknown",G1100)</f>
        <v>Paid Search</v>
      </c>
      <c r="I1100" s="6" t="s">
        <v>25</v>
      </c>
      <c r="J1100" s="6">
        <v>1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f>IF(O1100&gt;0,1,0)</f>
        <v>0</v>
      </c>
      <c r="Q1100" s="6">
        <v>0</v>
      </c>
      <c r="S1100" s="6"/>
      <c r="T1100" s="6">
        <f>IF(S1100="",MEDIAN($S$2:$S$1409),S1100)</f>
        <v>59.9</v>
      </c>
    </row>
    <row r="1101" spans="1:20" ht="15" customHeight="1">
      <c r="A1101" s="6" t="s">
        <v>1136</v>
      </c>
      <c r="B1101" s="7">
        <v>45764</v>
      </c>
      <c r="C1101" s="6" t="s">
        <v>727</v>
      </c>
      <c r="D1101" s="6" t="s">
        <v>32</v>
      </c>
      <c r="E1101" s="6" t="s">
        <v>28</v>
      </c>
      <c r="F1101" s="6" t="str">
        <f>IF(E1101="","Unknown",E1101)</f>
        <v>Mobile</v>
      </c>
      <c r="G1101" s="6" t="s">
        <v>29</v>
      </c>
      <c r="H1101" s="6" t="str">
        <f>IF(G1101="","Unknown",G1101)</f>
        <v>Organic</v>
      </c>
      <c r="I1101" s="6" t="s">
        <v>34</v>
      </c>
      <c r="J1101" s="6">
        <v>1</v>
      </c>
      <c r="K1101" s="6">
        <v>1</v>
      </c>
      <c r="L1101" s="6">
        <v>1</v>
      </c>
      <c r="M1101" s="6">
        <v>0</v>
      </c>
      <c r="N1101" s="6">
        <v>0</v>
      </c>
      <c r="O1101" s="6">
        <v>1</v>
      </c>
      <c r="P1101" s="6">
        <f>IF(O1101&gt;0,1,0)</f>
        <v>1</v>
      </c>
      <c r="Q1101" s="6">
        <v>0</v>
      </c>
      <c r="S1101" s="6">
        <v>70.8</v>
      </c>
      <c r="T1101" s="6">
        <f>IF(S1101="",MEDIAN($S$2:$S$1409),S1101)</f>
        <v>70.8</v>
      </c>
    </row>
    <row r="1102" spans="1:20" ht="15" customHeight="1">
      <c r="A1102" s="6" t="s">
        <v>1137</v>
      </c>
      <c r="B1102" s="7">
        <v>45803</v>
      </c>
      <c r="C1102" s="6" t="s">
        <v>727</v>
      </c>
      <c r="D1102" s="6" t="s">
        <v>36</v>
      </c>
      <c r="E1102" s="6" t="s">
        <v>28</v>
      </c>
      <c r="F1102" s="6" t="str">
        <f>IF(E1102="","Unknown",E1102)</f>
        <v>Mobile</v>
      </c>
      <c r="G1102" s="6" t="s">
        <v>33</v>
      </c>
      <c r="H1102" s="6" t="str">
        <f>IF(G1102="","Unknown",G1102)</f>
        <v>Paid Search</v>
      </c>
      <c r="I1102" s="6" t="s">
        <v>30</v>
      </c>
      <c r="J1102" s="6">
        <v>1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f>IF(O1102&gt;0,1,0)</f>
        <v>0</v>
      </c>
      <c r="Q1102" s="6">
        <v>0</v>
      </c>
      <c r="S1102" s="6">
        <v>71.3</v>
      </c>
      <c r="T1102" s="6">
        <f>IF(S1102="",MEDIAN($S$2:$S$1409),S1102)</f>
        <v>71.3</v>
      </c>
    </row>
    <row r="1103" spans="1:20" ht="15" customHeight="1">
      <c r="A1103" s="6" t="s">
        <v>1138</v>
      </c>
      <c r="B1103" s="7">
        <v>45761</v>
      </c>
      <c r="C1103" s="6" t="s">
        <v>727</v>
      </c>
      <c r="D1103" s="6" t="s">
        <v>22</v>
      </c>
      <c r="E1103" s="6" t="s">
        <v>28</v>
      </c>
      <c r="F1103" s="6" t="str">
        <f>IF(E1103="","Unknown",E1103)</f>
        <v>Mobile</v>
      </c>
      <c r="G1103" s="6" t="s">
        <v>45</v>
      </c>
      <c r="H1103" s="6" t="str">
        <f>IF(G1103="","Unknown",G1103)</f>
        <v>Social</v>
      </c>
      <c r="I1103" s="6" t="s">
        <v>34</v>
      </c>
      <c r="J1103" s="6">
        <v>1</v>
      </c>
      <c r="K1103" s="6">
        <v>1</v>
      </c>
      <c r="L1103" s="6">
        <v>1</v>
      </c>
      <c r="M1103" s="6">
        <v>0</v>
      </c>
      <c r="N1103" s="6">
        <v>0</v>
      </c>
      <c r="O1103" s="6">
        <v>0</v>
      </c>
      <c r="P1103" s="6">
        <f>IF(O1103&gt;0,1,0)</f>
        <v>0</v>
      </c>
      <c r="Q1103" s="6">
        <v>0</v>
      </c>
      <c r="S1103" s="6">
        <v>69.400000000000006</v>
      </c>
      <c r="T1103" s="6">
        <f>IF(S1103="",MEDIAN($S$2:$S$1409),S1103)</f>
        <v>69.400000000000006</v>
      </c>
    </row>
    <row r="1104" spans="1:20" ht="15" customHeight="1">
      <c r="A1104" s="6" t="s">
        <v>1139</v>
      </c>
      <c r="B1104" s="7">
        <v>45680</v>
      </c>
      <c r="C1104" s="6" t="s">
        <v>727</v>
      </c>
      <c r="D1104" s="6" t="s">
        <v>36</v>
      </c>
      <c r="E1104" s="6" t="s">
        <v>28</v>
      </c>
      <c r="F1104" s="6" t="str">
        <f>IF(E1104="","Unknown",E1104)</f>
        <v>Mobile</v>
      </c>
      <c r="G1104" s="6" t="s">
        <v>29</v>
      </c>
      <c r="H1104" s="6" t="str">
        <f>IF(G1104="","Unknown",G1104)</f>
        <v>Organic</v>
      </c>
      <c r="I1104" s="6" t="s">
        <v>25</v>
      </c>
      <c r="J1104" s="6">
        <v>1</v>
      </c>
      <c r="K1104" s="6">
        <v>1</v>
      </c>
      <c r="L1104" s="6">
        <v>0</v>
      </c>
      <c r="M1104" s="6">
        <v>0</v>
      </c>
      <c r="N1104" s="6">
        <v>0</v>
      </c>
      <c r="O1104" s="6">
        <v>0</v>
      </c>
      <c r="P1104" s="6">
        <f>IF(O1104&gt;0,1,0)</f>
        <v>0</v>
      </c>
      <c r="Q1104" s="6">
        <v>0</v>
      </c>
      <c r="S1104" s="6">
        <v>58.9</v>
      </c>
      <c r="T1104" s="6">
        <f>IF(S1104="",MEDIAN($S$2:$S$1409),S1104)</f>
        <v>58.9</v>
      </c>
    </row>
    <row r="1105" spans="1:20" ht="15" customHeight="1">
      <c r="A1105" s="6" t="s">
        <v>1140</v>
      </c>
      <c r="B1105" s="7">
        <v>45663</v>
      </c>
      <c r="C1105" s="6" t="s">
        <v>727</v>
      </c>
      <c r="D1105" s="6" t="s">
        <v>32</v>
      </c>
      <c r="E1105" s="6" t="s">
        <v>28</v>
      </c>
      <c r="F1105" s="6" t="str">
        <f>IF(E1105="","Unknown",E1105)</f>
        <v>Mobile</v>
      </c>
      <c r="G1105" s="6" t="s">
        <v>43</v>
      </c>
      <c r="H1105" s="6" t="str">
        <f>IF(G1105="","Unknown",G1105)</f>
        <v>Referral</v>
      </c>
      <c r="I1105" s="6" t="s">
        <v>30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f>IF(O1105&gt;0,1,0)</f>
        <v>0</v>
      </c>
      <c r="Q1105" s="6">
        <v>0</v>
      </c>
      <c r="S1105" s="6">
        <v>70.7</v>
      </c>
      <c r="T1105" s="6">
        <f>IF(S1105="",MEDIAN($S$2:$S$1409),S1105)</f>
        <v>70.7</v>
      </c>
    </row>
    <row r="1106" spans="1:20" ht="15" customHeight="1">
      <c r="A1106" s="6" t="s">
        <v>1141</v>
      </c>
      <c r="B1106" s="7">
        <v>45808</v>
      </c>
      <c r="C1106" s="6" t="s">
        <v>727</v>
      </c>
      <c r="D1106" s="6" t="s">
        <v>27</v>
      </c>
      <c r="E1106" s="6" t="s">
        <v>28</v>
      </c>
      <c r="F1106" s="6" t="str">
        <f>IF(E1106="","Unknown",E1106)</f>
        <v>Mobile</v>
      </c>
      <c r="G1106" s="6" t="s">
        <v>24</v>
      </c>
      <c r="H1106" s="6" t="str">
        <f>IF(G1106="","Unknown",G1106)</f>
        <v>Email</v>
      </c>
      <c r="I1106" s="6" t="s">
        <v>25</v>
      </c>
      <c r="J1106" s="6">
        <v>1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f>IF(O1106&gt;0,1,0)</f>
        <v>0</v>
      </c>
      <c r="Q1106" s="6">
        <v>0</v>
      </c>
      <c r="S1106" s="6">
        <v>60.5</v>
      </c>
      <c r="T1106" s="6">
        <f>IF(S1106="",MEDIAN($S$2:$S$1409),S1106)</f>
        <v>60.5</v>
      </c>
    </row>
    <row r="1107" spans="1:20" ht="15" customHeight="1">
      <c r="A1107" s="6" t="s">
        <v>1142</v>
      </c>
      <c r="B1107" s="7">
        <v>45796</v>
      </c>
      <c r="C1107" s="6" t="s">
        <v>727</v>
      </c>
      <c r="D1107" s="6" t="s">
        <v>22</v>
      </c>
      <c r="E1107" s="6" t="s">
        <v>28</v>
      </c>
      <c r="F1107" s="6" t="str">
        <f>IF(E1107="","Unknown",E1107)</f>
        <v>Mobile</v>
      </c>
      <c r="G1107" s="6" t="s">
        <v>29</v>
      </c>
      <c r="H1107" s="6" t="str">
        <f>IF(G1107="","Unknown",G1107)</f>
        <v>Organic</v>
      </c>
      <c r="I1107" s="6" t="s">
        <v>25</v>
      </c>
      <c r="J1107" s="6">
        <v>1</v>
      </c>
      <c r="K1107" s="6">
        <v>1</v>
      </c>
      <c r="L1107" s="6">
        <v>1</v>
      </c>
      <c r="M1107" s="6">
        <v>0</v>
      </c>
      <c r="N1107" s="6">
        <v>0</v>
      </c>
      <c r="O1107" s="6">
        <v>0</v>
      </c>
      <c r="P1107" s="6">
        <f>IF(O1107&gt;0,1,0)</f>
        <v>0</v>
      </c>
      <c r="Q1107" s="6">
        <v>0</v>
      </c>
      <c r="S1107" s="6">
        <v>77.3</v>
      </c>
      <c r="T1107" s="6">
        <f>IF(S1107="",MEDIAN($S$2:$S$1409),S1107)</f>
        <v>77.3</v>
      </c>
    </row>
    <row r="1108" spans="1:20" ht="15" customHeight="1">
      <c r="A1108" s="6" t="s">
        <v>1143</v>
      </c>
      <c r="B1108" s="7">
        <v>45713</v>
      </c>
      <c r="C1108" s="6" t="s">
        <v>727</v>
      </c>
      <c r="D1108" s="6" t="s">
        <v>22</v>
      </c>
      <c r="E1108" s="6" t="s">
        <v>28</v>
      </c>
      <c r="F1108" s="6" t="str">
        <f>IF(E1108="","Unknown",E1108)</f>
        <v>Mobile</v>
      </c>
      <c r="G1108" s="6" t="s">
        <v>29</v>
      </c>
      <c r="H1108" s="6" t="str">
        <f>IF(G1108="","Unknown",G1108)</f>
        <v>Organic</v>
      </c>
      <c r="I1108" s="6" t="s">
        <v>30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1</v>
      </c>
      <c r="P1108" s="6">
        <f>IF(O1108&gt;0,1,0)</f>
        <v>1</v>
      </c>
      <c r="Q1108" s="6">
        <v>0</v>
      </c>
      <c r="S1108" s="6">
        <v>39.5</v>
      </c>
      <c r="T1108" s="6">
        <f>IF(S1108="",MEDIAN($S$2:$S$1409),S1108)</f>
        <v>39.5</v>
      </c>
    </row>
    <row r="1109" spans="1:20" ht="15" customHeight="1">
      <c r="A1109" s="6" t="s">
        <v>1144</v>
      </c>
      <c r="B1109" s="7">
        <v>45667</v>
      </c>
      <c r="C1109" s="6" t="s">
        <v>727</v>
      </c>
      <c r="D1109" s="6" t="s">
        <v>36</v>
      </c>
      <c r="E1109" s="6" t="s">
        <v>38</v>
      </c>
      <c r="F1109" s="6" t="str">
        <f>IF(E1109="","Unknown",E1109)</f>
        <v>Tablet</v>
      </c>
      <c r="G1109" s="6" t="s">
        <v>29</v>
      </c>
      <c r="H1109" s="6" t="str">
        <f>IF(G1109="","Unknown",G1109)</f>
        <v>Organic</v>
      </c>
      <c r="I1109" s="6" t="s">
        <v>25</v>
      </c>
      <c r="J1109" s="6">
        <v>1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f>IF(O1109&gt;0,1,0)</f>
        <v>0</v>
      </c>
      <c r="Q1109" s="6">
        <v>0</v>
      </c>
      <c r="S1109" s="6">
        <v>68.099999999999994</v>
      </c>
      <c r="T1109" s="6">
        <f>IF(S1109="",MEDIAN($S$2:$S$1409),S1109)</f>
        <v>68.099999999999994</v>
      </c>
    </row>
    <row r="1110" spans="1:20" ht="15" customHeight="1">
      <c r="A1110" s="6" t="s">
        <v>1145</v>
      </c>
      <c r="B1110" s="7">
        <v>45790</v>
      </c>
      <c r="C1110" s="6" t="s">
        <v>727</v>
      </c>
      <c r="D1110" s="6" t="s">
        <v>22</v>
      </c>
      <c r="E1110" s="6" t="s">
        <v>38</v>
      </c>
      <c r="F1110" s="6" t="str">
        <f>IF(E1110="","Unknown",E1110)</f>
        <v>Tablet</v>
      </c>
      <c r="G1110" s="6" t="s">
        <v>33</v>
      </c>
      <c r="H1110" s="6" t="str">
        <f>IF(G1110="","Unknown",G1110)</f>
        <v>Paid Search</v>
      </c>
      <c r="I1110" s="6" t="s">
        <v>30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f>IF(O1110&gt;0,1,0)</f>
        <v>0</v>
      </c>
      <c r="Q1110" s="6">
        <v>0</v>
      </c>
      <c r="S1110" s="6">
        <v>80.3</v>
      </c>
      <c r="T1110" s="6">
        <f>IF(S1110="",MEDIAN($S$2:$S$1409),S1110)</f>
        <v>80.3</v>
      </c>
    </row>
    <row r="1111" spans="1:20" ht="15" customHeight="1">
      <c r="A1111" s="6" t="s">
        <v>1146</v>
      </c>
      <c r="B1111" s="7">
        <v>45774</v>
      </c>
      <c r="C1111" s="6" t="s">
        <v>727</v>
      </c>
      <c r="D1111" s="6" t="s">
        <v>27</v>
      </c>
      <c r="E1111" s="6" t="s">
        <v>23</v>
      </c>
      <c r="F1111" s="6" t="str">
        <f>IF(E1111="","Unknown",E1111)</f>
        <v>Desktop</v>
      </c>
      <c r="G1111" s="6" t="s">
        <v>29</v>
      </c>
      <c r="H1111" s="6" t="str">
        <f>IF(G1111="","Unknown",G1111)</f>
        <v>Organic</v>
      </c>
      <c r="I1111" s="6" t="s">
        <v>34</v>
      </c>
      <c r="J1111" s="6">
        <v>1</v>
      </c>
      <c r="K1111" s="6">
        <v>0</v>
      </c>
      <c r="L1111" s="6">
        <v>0</v>
      </c>
      <c r="M1111" s="6">
        <v>0</v>
      </c>
      <c r="N1111" s="6">
        <v>0</v>
      </c>
      <c r="O1111" s="6">
        <v>0</v>
      </c>
      <c r="P1111" s="6">
        <f>IF(O1111&gt;0,1,0)</f>
        <v>0</v>
      </c>
      <c r="Q1111" s="6">
        <v>0</v>
      </c>
      <c r="S1111" s="6">
        <v>77.7</v>
      </c>
      <c r="T1111" s="6">
        <f>IF(S1111="",MEDIAN($S$2:$S$1409),S1111)</f>
        <v>77.7</v>
      </c>
    </row>
    <row r="1112" spans="1:20" ht="15" customHeight="1">
      <c r="A1112" s="6" t="s">
        <v>1147</v>
      </c>
      <c r="B1112" s="7">
        <v>45750</v>
      </c>
      <c r="C1112" s="6" t="s">
        <v>727</v>
      </c>
      <c r="D1112" s="6" t="s">
        <v>36</v>
      </c>
      <c r="E1112" s="6" t="s">
        <v>28</v>
      </c>
      <c r="F1112" s="6" t="str">
        <f>IF(E1112="","Unknown",E1112)</f>
        <v>Mobile</v>
      </c>
      <c r="G1112" s="6" t="s">
        <v>29</v>
      </c>
      <c r="H1112" s="6" t="str">
        <f>IF(G1112="","Unknown",G1112)</f>
        <v>Organic</v>
      </c>
      <c r="I1112" s="6" t="s">
        <v>30</v>
      </c>
      <c r="J1112" s="6">
        <v>1</v>
      </c>
      <c r="K1112" s="6">
        <v>0</v>
      </c>
      <c r="L1112" s="6">
        <v>0</v>
      </c>
      <c r="M1112" s="6">
        <v>0</v>
      </c>
      <c r="N1112" s="6">
        <v>0</v>
      </c>
      <c r="O1112" s="6">
        <v>1</v>
      </c>
      <c r="P1112" s="6">
        <f>IF(O1112&gt;0,1,0)</f>
        <v>1</v>
      </c>
      <c r="Q1112" s="6">
        <v>0</v>
      </c>
      <c r="S1112" s="6">
        <v>66.2</v>
      </c>
      <c r="T1112" s="6">
        <f>IF(S1112="",MEDIAN($S$2:$S$1409),S1112)</f>
        <v>66.2</v>
      </c>
    </row>
    <row r="1113" spans="1:20" ht="15" customHeight="1">
      <c r="A1113" s="6" t="s">
        <v>1148</v>
      </c>
      <c r="B1113" s="7">
        <v>45742</v>
      </c>
      <c r="C1113" s="6" t="s">
        <v>727</v>
      </c>
      <c r="D1113" s="6" t="s">
        <v>36</v>
      </c>
      <c r="E1113" s="6" t="s">
        <v>28</v>
      </c>
      <c r="F1113" s="6" t="str">
        <f>IF(E1113="","Unknown",E1113)</f>
        <v>Mobile</v>
      </c>
      <c r="G1113" s="6" t="s">
        <v>29</v>
      </c>
      <c r="H1113" s="6" t="str">
        <f>IF(G1113="","Unknown",G1113)</f>
        <v>Organic</v>
      </c>
      <c r="I1113" s="6" t="s">
        <v>30</v>
      </c>
      <c r="J1113" s="6">
        <v>1</v>
      </c>
      <c r="K1113" s="6">
        <v>1</v>
      </c>
      <c r="L1113" s="6">
        <v>1</v>
      </c>
      <c r="M1113" s="6">
        <v>0</v>
      </c>
      <c r="N1113" s="6">
        <v>0</v>
      </c>
      <c r="O1113" s="6">
        <v>1</v>
      </c>
      <c r="P1113" s="6">
        <f>IF(O1113&gt;0,1,0)</f>
        <v>1</v>
      </c>
      <c r="Q1113" s="6">
        <v>0</v>
      </c>
      <c r="S1113" s="6">
        <v>43.9</v>
      </c>
      <c r="T1113" s="6">
        <f>IF(S1113="",MEDIAN($S$2:$S$1409),S1113)</f>
        <v>43.9</v>
      </c>
    </row>
    <row r="1114" spans="1:20" ht="15" customHeight="1">
      <c r="A1114" s="6" t="s">
        <v>1149</v>
      </c>
      <c r="B1114" s="7">
        <v>45688</v>
      </c>
      <c r="C1114" s="6" t="s">
        <v>727</v>
      </c>
      <c r="D1114" s="6" t="s">
        <v>36</v>
      </c>
      <c r="E1114" s="6" t="s">
        <v>28</v>
      </c>
      <c r="F1114" s="6" t="str">
        <f>IF(E1114="","Unknown",E1114)</f>
        <v>Mobile</v>
      </c>
      <c r="G1114" s="6" t="s">
        <v>29</v>
      </c>
      <c r="H1114" s="6" t="str">
        <f>IF(G1114="","Unknown",G1114)</f>
        <v>Organic</v>
      </c>
      <c r="I1114" s="6" t="s">
        <v>25</v>
      </c>
      <c r="J1114" s="6">
        <v>1</v>
      </c>
      <c r="K1114" s="6">
        <v>1</v>
      </c>
      <c r="L1114" s="6">
        <v>1</v>
      </c>
      <c r="M1114" s="6">
        <v>0</v>
      </c>
      <c r="N1114" s="6">
        <v>0</v>
      </c>
      <c r="O1114" s="6">
        <v>2</v>
      </c>
      <c r="P1114" s="6">
        <f>IF(O1114&gt;0,1,0)</f>
        <v>1</v>
      </c>
      <c r="Q1114" s="6">
        <v>0</v>
      </c>
      <c r="S1114" s="6">
        <v>59.1</v>
      </c>
      <c r="T1114" s="6">
        <f>IF(S1114="",MEDIAN($S$2:$S$1409),S1114)</f>
        <v>59.1</v>
      </c>
    </row>
    <row r="1115" spans="1:20" ht="15" customHeight="1">
      <c r="A1115" s="6" t="s">
        <v>1150</v>
      </c>
      <c r="B1115" s="7">
        <v>45682</v>
      </c>
      <c r="C1115" s="6" t="s">
        <v>727</v>
      </c>
      <c r="D1115" s="6" t="s">
        <v>36</v>
      </c>
      <c r="E1115" s="6" t="s">
        <v>28</v>
      </c>
      <c r="F1115" s="6" t="str">
        <f>IF(E1115="","Unknown",E1115)</f>
        <v>Mobile</v>
      </c>
      <c r="G1115" s="6" t="s">
        <v>45</v>
      </c>
      <c r="H1115" s="6" t="str">
        <f>IF(G1115="","Unknown",G1115)</f>
        <v>Social</v>
      </c>
      <c r="I1115" s="6" t="s">
        <v>30</v>
      </c>
      <c r="J1115" s="6">
        <v>1</v>
      </c>
      <c r="K1115" s="6">
        <v>1</v>
      </c>
      <c r="L1115" s="6">
        <v>1</v>
      </c>
      <c r="M1115" s="6">
        <v>1</v>
      </c>
      <c r="N1115" s="6">
        <v>416.94</v>
      </c>
      <c r="O1115" s="6">
        <v>1</v>
      </c>
      <c r="P1115" s="6">
        <f>IF(O1115&gt;0,1,0)</f>
        <v>1</v>
      </c>
      <c r="Q1115" s="6">
        <v>0</v>
      </c>
      <c r="R1115" s="6">
        <v>11</v>
      </c>
      <c r="S1115" s="6">
        <v>67</v>
      </c>
      <c r="T1115" s="6">
        <f>IF(S1115="",MEDIAN($S$2:$S$1409),S1115)</f>
        <v>67</v>
      </c>
    </row>
    <row r="1116" spans="1:20" ht="15" customHeight="1">
      <c r="A1116" s="6" t="s">
        <v>1151</v>
      </c>
      <c r="B1116" s="7">
        <v>45694</v>
      </c>
      <c r="C1116" s="6" t="s">
        <v>727</v>
      </c>
      <c r="D1116" s="6" t="s">
        <v>27</v>
      </c>
      <c r="E1116" s="6" t="s">
        <v>28</v>
      </c>
      <c r="F1116" s="6" t="str">
        <f>IF(E1116="","Unknown",E1116)</f>
        <v>Mobile</v>
      </c>
      <c r="G1116" s="6" t="s">
        <v>43</v>
      </c>
      <c r="H1116" s="6" t="str">
        <f>IF(G1116="","Unknown",G1116)</f>
        <v>Referral</v>
      </c>
      <c r="I1116" s="6" t="s">
        <v>25</v>
      </c>
      <c r="J1116" s="6">
        <v>1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f>IF(O1116&gt;0,1,0)</f>
        <v>0</v>
      </c>
      <c r="Q1116" s="6">
        <v>0</v>
      </c>
      <c r="S1116" s="6">
        <v>47.9</v>
      </c>
      <c r="T1116" s="6">
        <f>IF(S1116="",MEDIAN($S$2:$S$1409),S1116)</f>
        <v>47.9</v>
      </c>
    </row>
    <row r="1117" spans="1:20" ht="15" customHeight="1">
      <c r="A1117" s="6" t="s">
        <v>1152</v>
      </c>
      <c r="B1117" s="7">
        <v>45726</v>
      </c>
      <c r="C1117" s="6" t="s">
        <v>727</v>
      </c>
      <c r="D1117" s="6" t="s">
        <v>32</v>
      </c>
      <c r="E1117" s="6" t="s">
        <v>28</v>
      </c>
      <c r="F1117" s="6" t="str">
        <f>IF(E1117="","Unknown",E1117)</f>
        <v>Mobile</v>
      </c>
      <c r="G1117" s="6" t="s">
        <v>33</v>
      </c>
      <c r="H1117" s="6" t="str">
        <f>IF(G1117="","Unknown",G1117)</f>
        <v>Paid Search</v>
      </c>
      <c r="I1117" s="6" t="s">
        <v>30</v>
      </c>
      <c r="J1117" s="6">
        <v>1</v>
      </c>
      <c r="K1117" s="6">
        <v>1</v>
      </c>
      <c r="L1117" s="6">
        <v>0</v>
      </c>
      <c r="M1117" s="6">
        <v>0</v>
      </c>
      <c r="N1117" s="6">
        <v>0</v>
      </c>
      <c r="O1117" s="6">
        <v>0</v>
      </c>
      <c r="P1117" s="6">
        <f>IF(O1117&gt;0,1,0)</f>
        <v>0</v>
      </c>
      <c r="Q1117" s="6">
        <v>0</v>
      </c>
      <c r="S1117" s="6">
        <v>41.5</v>
      </c>
      <c r="T1117" s="6">
        <f>IF(S1117="",MEDIAN($S$2:$S$1409),S1117)</f>
        <v>41.5</v>
      </c>
    </row>
    <row r="1118" spans="1:20" ht="15" customHeight="1">
      <c r="A1118" s="6" t="s">
        <v>1153</v>
      </c>
      <c r="B1118" s="7">
        <v>45683</v>
      </c>
      <c r="C1118" s="6" t="s">
        <v>727</v>
      </c>
      <c r="D1118" s="6" t="s">
        <v>27</v>
      </c>
      <c r="E1118" s="6" t="s">
        <v>28</v>
      </c>
      <c r="F1118" s="6" t="str">
        <f>IF(E1118="","Unknown",E1118)</f>
        <v>Mobile</v>
      </c>
      <c r="G1118" s="6" t="s">
        <v>29</v>
      </c>
      <c r="H1118" s="6" t="str">
        <f>IF(G1118="","Unknown",G1118)</f>
        <v>Organic</v>
      </c>
      <c r="I1118" s="6" t="s">
        <v>25</v>
      </c>
      <c r="J1118" s="6">
        <v>1</v>
      </c>
      <c r="K1118" s="6">
        <v>1</v>
      </c>
      <c r="L1118" s="6">
        <v>1</v>
      </c>
      <c r="M1118" s="6">
        <v>0</v>
      </c>
      <c r="N1118" s="6">
        <v>0</v>
      </c>
      <c r="O1118" s="6">
        <v>3</v>
      </c>
      <c r="P1118" s="6">
        <f>IF(O1118&gt;0,1,0)</f>
        <v>1</v>
      </c>
      <c r="Q1118" s="6">
        <v>0</v>
      </c>
      <c r="S1118" s="6">
        <v>30.6</v>
      </c>
      <c r="T1118" s="6">
        <f>IF(S1118="",MEDIAN($S$2:$S$1409),S1118)</f>
        <v>30.6</v>
      </c>
    </row>
    <row r="1119" spans="1:20" ht="15" customHeight="1">
      <c r="A1119" s="6" t="s">
        <v>1154</v>
      </c>
      <c r="B1119" s="7">
        <v>45658</v>
      </c>
      <c r="C1119" s="6" t="s">
        <v>727</v>
      </c>
      <c r="D1119" s="6" t="s">
        <v>32</v>
      </c>
      <c r="E1119" s="6" t="s">
        <v>28</v>
      </c>
      <c r="F1119" s="6" t="str">
        <f>IF(E1119="","Unknown",E1119)</f>
        <v>Mobile</v>
      </c>
      <c r="G1119" s="6" t="s">
        <v>33</v>
      </c>
      <c r="H1119" s="6" t="str">
        <f>IF(G1119="","Unknown",G1119)</f>
        <v>Paid Search</v>
      </c>
      <c r="I1119" s="6" t="s">
        <v>30</v>
      </c>
      <c r="J1119" s="6">
        <v>1</v>
      </c>
      <c r="K1119" s="6">
        <v>1</v>
      </c>
      <c r="L1119" s="6">
        <v>0</v>
      </c>
      <c r="M1119" s="6">
        <v>0</v>
      </c>
      <c r="N1119" s="6">
        <v>0</v>
      </c>
      <c r="O1119" s="6">
        <v>0</v>
      </c>
      <c r="P1119" s="6">
        <f>IF(O1119&gt;0,1,0)</f>
        <v>0</v>
      </c>
      <c r="Q1119" s="6">
        <v>0</v>
      </c>
      <c r="S1119" s="6">
        <v>91.5</v>
      </c>
      <c r="T1119" s="6">
        <f>IF(S1119="",MEDIAN($S$2:$S$1409),S1119)</f>
        <v>91.5</v>
      </c>
    </row>
    <row r="1120" spans="1:20" ht="15" customHeight="1">
      <c r="A1120" s="6" t="s">
        <v>1155</v>
      </c>
      <c r="B1120" s="7">
        <v>45775</v>
      </c>
      <c r="C1120" s="6" t="s">
        <v>727</v>
      </c>
      <c r="D1120" s="6" t="s">
        <v>22</v>
      </c>
      <c r="E1120" s="6" t="s">
        <v>23</v>
      </c>
      <c r="F1120" s="6" t="str">
        <f>IF(E1120="","Unknown",E1120)</f>
        <v>Desktop</v>
      </c>
      <c r="G1120" s="6" t="s">
        <v>45</v>
      </c>
      <c r="H1120" s="6" t="str">
        <f>IF(G1120="","Unknown",G1120)</f>
        <v>Social</v>
      </c>
      <c r="I1120" s="6" t="s">
        <v>25</v>
      </c>
      <c r="J1120" s="6">
        <v>1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f>IF(O1120&gt;0,1,0)</f>
        <v>0</v>
      </c>
      <c r="Q1120" s="6">
        <v>0</v>
      </c>
      <c r="S1120" s="6">
        <v>80.8</v>
      </c>
      <c r="T1120" s="6">
        <f>IF(S1120="",MEDIAN($S$2:$S$1409),S1120)</f>
        <v>80.8</v>
      </c>
    </row>
    <row r="1121" spans="1:20" ht="15" customHeight="1">
      <c r="A1121" s="6" t="s">
        <v>1156</v>
      </c>
      <c r="B1121" s="7">
        <v>45751</v>
      </c>
      <c r="C1121" s="6" t="s">
        <v>727</v>
      </c>
      <c r="D1121" s="6" t="s">
        <v>22</v>
      </c>
      <c r="E1121" s="6" t="s">
        <v>28</v>
      </c>
      <c r="F1121" s="6" t="str">
        <f>IF(E1121="","Unknown",E1121)</f>
        <v>Mobile</v>
      </c>
      <c r="G1121" s="6" t="s">
        <v>29</v>
      </c>
      <c r="H1121" s="6" t="str">
        <f>IF(G1121="","Unknown",G1121)</f>
        <v>Organic</v>
      </c>
      <c r="I1121" s="6" t="s">
        <v>34</v>
      </c>
      <c r="J1121" s="6">
        <v>1</v>
      </c>
      <c r="K1121" s="6">
        <v>0</v>
      </c>
      <c r="L1121" s="6">
        <v>0</v>
      </c>
      <c r="M1121" s="6">
        <v>0</v>
      </c>
      <c r="N1121" s="6">
        <v>0</v>
      </c>
      <c r="O1121" s="6">
        <v>0</v>
      </c>
      <c r="P1121" s="6">
        <f>IF(O1121&gt;0,1,0)</f>
        <v>0</v>
      </c>
      <c r="Q1121" s="6">
        <v>0</v>
      </c>
      <c r="S1121" s="6">
        <v>68.099999999999994</v>
      </c>
      <c r="T1121" s="6">
        <f>IF(S1121="",MEDIAN($S$2:$S$1409),S1121)</f>
        <v>68.099999999999994</v>
      </c>
    </row>
    <row r="1122" spans="1:20" ht="15" customHeight="1">
      <c r="A1122" s="6" t="s">
        <v>1157</v>
      </c>
      <c r="B1122" s="7">
        <v>45718</v>
      </c>
      <c r="C1122" s="6" t="s">
        <v>727</v>
      </c>
      <c r="D1122" s="6" t="s">
        <v>32</v>
      </c>
      <c r="E1122" s="6" t="s">
        <v>28</v>
      </c>
      <c r="F1122" s="6" t="str">
        <f>IF(E1122="","Unknown",E1122)</f>
        <v>Mobile</v>
      </c>
      <c r="G1122" s="6" t="s">
        <v>33</v>
      </c>
      <c r="H1122" s="6" t="str">
        <f>IF(G1122="","Unknown",G1122)</f>
        <v>Paid Search</v>
      </c>
      <c r="I1122" s="6" t="s">
        <v>30</v>
      </c>
      <c r="J1122" s="6">
        <v>1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f>IF(O1122&gt;0,1,0)</f>
        <v>0</v>
      </c>
      <c r="Q1122" s="6">
        <v>0</v>
      </c>
      <c r="S1122" s="6">
        <v>80.3</v>
      </c>
      <c r="T1122" s="6">
        <f>IF(S1122="",MEDIAN($S$2:$S$1409),S1122)</f>
        <v>80.3</v>
      </c>
    </row>
    <row r="1123" spans="1:20" ht="15" customHeight="1">
      <c r="A1123" s="6" t="s">
        <v>1158</v>
      </c>
      <c r="B1123" s="7">
        <v>45735</v>
      </c>
      <c r="C1123" s="6" t="s">
        <v>727</v>
      </c>
      <c r="D1123" s="6" t="s">
        <v>36</v>
      </c>
      <c r="E1123" s="6" t="s">
        <v>38</v>
      </c>
      <c r="F1123" s="6" t="str">
        <f>IF(E1123="","Unknown",E1123)</f>
        <v>Tablet</v>
      </c>
      <c r="G1123" s="6" t="s">
        <v>29</v>
      </c>
      <c r="H1123" s="6" t="str">
        <f>IF(G1123="","Unknown",G1123)</f>
        <v>Organic</v>
      </c>
      <c r="I1123" s="6" t="s">
        <v>25</v>
      </c>
      <c r="J1123" s="6">
        <v>1</v>
      </c>
      <c r="K1123" s="6">
        <v>0</v>
      </c>
      <c r="L1123" s="6">
        <v>0</v>
      </c>
      <c r="M1123" s="6">
        <v>0</v>
      </c>
      <c r="N1123" s="6">
        <v>0</v>
      </c>
      <c r="O1123" s="6">
        <v>0</v>
      </c>
      <c r="P1123" s="6">
        <f>IF(O1123&gt;0,1,0)</f>
        <v>0</v>
      </c>
      <c r="Q1123" s="6">
        <v>0</v>
      </c>
      <c r="S1123" s="6">
        <v>44.4</v>
      </c>
      <c r="T1123" s="6">
        <f>IF(S1123="",MEDIAN($S$2:$S$1409),S1123)</f>
        <v>44.4</v>
      </c>
    </row>
    <row r="1124" spans="1:20" ht="15" customHeight="1">
      <c r="A1124" s="6" t="s">
        <v>1159</v>
      </c>
      <c r="B1124" s="7">
        <v>45677</v>
      </c>
      <c r="C1124" s="6" t="s">
        <v>727</v>
      </c>
      <c r="D1124" s="6" t="s">
        <v>36</v>
      </c>
      <c r="E1124" s="6" t="s">
        <v>23</v>
      </c>
      <c r="F1124" s="6" t="str">
        <f>IF(E1124="","Unknown",E1124)</f>
        <v>Desktop</v>
      </c>
      <c r="G1124" s="6" t="s">
        <v>29</v>
      </c>
      <c r="H1124" s="6" t="str">
        <f>IF(G1124="","Unknown",G1124)</f>
        <v>Organic</v>
      </c>
      <c r="I1124" s="6" t="s">
        <v>25</v>
      </c>
      <c r="J1124" s="6">
        <v>0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f>IF(O1124&gt;0,1,0)</f>
        <v>0</v>
      </c>
      <c r="Q1124" s="6">
        <v>0</v>
      </c>
      <c r="S1124" s="6">
        <v>51.9</v>
      </c>
      <c r="T1124" s="6">
        <f>IF(S1124="",MEDIAN($S$2:$S$1409),S1124)</f>
        <v>51.9</v>
      </c>
    </row>
    <row r="1125" spans="1:20" ht="15" customHeight="1">
      <c r="A1125" s="6" t="s">
        <v>1160</v>
      </c>
      <c r="B1125" s="7">
        <v>45750</v>
      </c>
      <c r="C1125" s="6" t="s">
        <v>727</v>
      </c>
      <c r="D1125" s="6" t="s">
        <v>32</v>
      </c>
      <c r="E1125" s="6" t="s">
        <v>28</v>
      </c>
      <c r="F1125" s="6" t="str">
        <f>IF(E1125="","Unknown",E1125)</f>
        <v>Mobile</v>
      </c>
      <c r="G1125" s="6" t="s">
        <v>33</v>
      </c>
      <c r="H1125" s="6" t="str">
        <f>IF(G1125="","Unknown",G1125)</f>
        <v>Paid Search</v>
      </c>
      <c r="I1125" s="6" t="s">
        <v>30</v>
      </c>
      <c r="J1125" s="6">
        <v>1</v>
      </c>
      <c r="K1125" s="6">
        <v>1</v>
      </c>
      <c r="L1125" s="6">
        <v>0</v>
      </c>
      <c r="M1125" s="6">
        <v>0</v>
      </c>
      <c r="N1125" s="6">
        <v>0</v>
      </c>
      <c r="O1125" s="6">
        <v>0</v>
      </c>
      <c r="P1125" s="6">
        <f>IF(O1125&gt;0,1,0)</f>
        <v>0</v>
      </c>
      <c r="Q1125" s="6">
        <v>0</v>
      </c>
      <c r="S1125" s="6">
        <v>49.8</v>
      </c>
      <c r="T1125" s="6">
        <f>IF(S1125="",MEDIAN($S$2:$S$1409),S1125)</f>
        <v>49.8</v>
      </c>
    </row>
    <row r="1126" spans="1:20" ht="15" customHeight="1">
      <c r="A1126" s="6" t="s">
        <v>1161</v>
      </c>
      <c r="B1126" s="7">
        <v>45668</v>
      </c>
      <c r="C1126" s="6" t="s">
        <v>727</v>
      </c>
      <c r="D1126" s="6" t="s">
        <v>32</v>
      </c>
      <c r="E1126" s="6" t="s">
        <v>23</v>
      </c>
      <c r="F1126" s="6" t="str">
        <f>IF(E1126="","Unknown",E1126)</f>
        <v>Desktop</v>
      </c>
      <c r="G1126" s="6" t="s">
        <v>45</v>
      </c>
      <c r="H1126" s="6" t="str">
        <f>IF(G1126="","Unknown",G1126)</f>
        <v>Social</v>
      </c>
      <c r="I1126" s="6" t="s">
        <v>30</v>
      </c>
      <c r="J1126" s="6">
        <v>1</v>
      </c>
      <c r="K1126" s="6">
        <v>1</v>
      </c>
      <c r="L1126" s="6">
        <v>1</v>
      </c>
      <c r="M1126" s="6">
        <v>0</v>
      </c>
      <c r="N1126" s="6">
        <v>0</v>
      </c>
      <c r="O1126" s="6">
        <v>3</v>
      </c>
      <c r="P1126" s="6">
        <f>IF(O1126&gt;0,1,0)</f>
        <v>1</v>
      </c>
      <c r="Q1126" s="6">
        <v>0</v>
      </c>
      <c r="S1126" s="6">
        <v>62.1</v>
      </c>
      <c r="T1126" s="6">
        <f>IF(S1126="",MEDIAN($S$2:$S$1409),S1126)</f>
        <v>62.1</v>
      </c>
    </row>
    <row r="1127" spans="1:20" ht="15" customHeight="1">
      <c r="A1127" s="6" t="s">
        <v>1162</v>
      </c>
      <c r="B1127" s="7">
        <v>45690</v>
      </c>
      <c r="C1127" s="6" t="s">
        <v>727</v>
      </c>
      <c r="D1127" s="6" t="s">
        <v>27</v>
      </c>
      <c r="E1127" s="6" t="s">
        <v>23</v>
      </c>
      <c r="F1127" s="6" t="str">
        <f>IF(E1127="","Unknown",E1127)</f>
        <v>Desktop</v>
      </c>
      <c r="G1127" s="6" t="s">
        <v>45</v>
      </c>
      <c r="H1127" s="6" t="str">
        <f>IF(G1127="","Unknown",G1127)</f>
        <v>Social</v>
      </c>
      <c r="I1127" s="6" t="s">
        <v>25</v>
      </c>
      <c r="J1127" s="6">
        <v>1</v>
      </c>
      <c r="K1127" s="6">
        <v>0</v>
      </c>
      <c r="L1127" s="6">
        <v>0</v>
      </c>
      <c r="M1127" s="6">
        <v>0</v>
      </c>
      <c r="N1127" s="6">
        <v>0</v>
      </c>
      <c r="O1127" s="6">
        <v>0</v>
      </c>
      <c r="P1127" s="6">
        <f>IF(O1127&gt;0,1,0)</f>
        <v>0</v>
      </c>
      <c r="Q1127" s="6">
        <v>0</v>
      </c>
      <c r="S1127" s="6">
        <v>91.3</v>
      </c>
      <c r="T1127" s="6">
        <f>IF(S1127="",MEDIAN($S$2:$S$1409),S1127)</f>
        <v>91.3</v>
      </c>
    </row>
    <row r="1128" spans="1:20" ht="15" customHeight="1">
      <c r="A1128" s="6" t="s">
        <v>1163</v>
      </c>
      <c r="B1128" s="7">
        <v>45748</v>
      </c>
      <c r="C1128" s="6" t="s">
        <v>727</v>
      </c>
      <c r="D1128" s="6" t="s">
        <v>36</v>
      </c>
      <c r="E1128" s="6" t="s">
        <v>28</v>
      </c>
      <c r="F1128" s="6" t="str">
        <f>IF(E1128="","Unknown",E1128)</f>
        <v>Mobile</v>
      </c>
      <c r="G1128" s="6" t="s">
        <v>29</v>
      </c>
      <c r="H1128" s="6" t="str">
        <f>IF(G1128="","Unknown",G1128)</f>
        <v>Organic</v>
      </c>
      <c r="I1128" s="6" t="s">
        <v>25</v>
      </c>
      <c r="J1128" s="6">
        <v>1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f>IF(O1128&gt;0,1,0)</f>
        <v>0</v>
      </c>
      <c r="Q1128" s="6">
        <v>0</v>
      </c>
      <c r="S1128" s="6">
        <v>66.400000000000006</v>
      </c>
      <c r="T1128" s="6">
        <f>IF(S1128="",MEDIAN($S$2:$S$1409),S1128)</f>
        <v>66.400000000000006</v>
      </c>
    </row>
    <row r="1129" spans="1:20" ht="15" customHeight="1">
      <c r="A1129" s="6" t="s">
        <v>1164</v>
      </c>
      <c r="B1129" s="7">
        <v>45799</v>
      </c>
      <c r="C1129" s="6" t="s">
        <v>727</v>
      </c>
      <c r="D1129" s="6" t="s">
        <v>32</v>
      </c>
      <c r="E1129" s="6" t="s">
        <v>28</v>
      </c>
      <c r="F1129" s="6" t="str">
        <f>IF(E1129="","Unknown",E1129)</f>
        <v>Mobile</v>
      </c>
      <c r="G1129" s="6" t="s">
        <v>29</v>
      </c>
      <c r="H1129" s="6" t="str">
        <f>IF(G1129="","Unknown",G1129)</f>
        <v>Organic</v>
      </c>
      <c r="I1129" s="6" t="s">
        <v>25</v>
      </c>
      <c r="J1129" s="6">
        <v>1</v>
      </c>
      <c r="K1129" s="6">
        <v>0</v>
      </c>
      <c r="L1129" s="6">
        <v>0</v>
      </c>
      <c r="M1129" s="6">
        <v>0</v>
      </c>
      <c r="N1129" s="6">
        <v>0</v>
      </c>
      <c r="O1129" s="6">
        <v>0</v>
      </c>
      <c r="P1129" s="6">
        <f>IF(O1129&gt;0,1,0)</f>
        <v>0</v>
      </c>
      <c r="Q1129" s="6">
        <v>0</v>
      </c>
      <c r="S1129" s="6">
        <v>41.5</v>
      </c>
      <c r="T1129" s="6">
        <f>IF(S1129="",MEDIAN($S$2:$S$1409),S1129)</f>
        <v>41.5</v>
      </c>
    </row>
    <row r="1130" spans="1:20" ht="15" customHeight="1">
      <c r="A1130" s="6" t="s">
        <v>1165</v>
      </c>
      <c r="B1130" s="7">
        <v>45708</v>
      </c>
      <c r="C1130" s="6" t="s">
        <v>727</v>
      </c>
      <c r="D1130" s="6" t="s">
        <v>27</v>
      </c>
      <c r="E1130" s="6" t="s">
        <v>28</v>
      </c>
      <c r="F1130" s="6" t="str">
        <f>IF(E1130="","Unknown",E1130)</f>
        <v>Mobile</v>
      </c>
      <c r="G1130" s="6" t="s">
        <v>29</v>
      </c>
      <c r="H1130" s="6" t="str">
        <f>IF(G1130="","Unknown",G1130)</f>
        <v>Organic</v>
      </c>
      <c r="I1130" s="6" t="s">
        <v>25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f>IF(O1130&gt;0,1,0)</f>
        <v>0</v>
      </c>
      <c r="Q1130" s="6">
        <v>0</v>
      </c>
      <c r="S1130" s="6">
        <v>77.099999999999994</v>
      </c>
      <c r="T1130" s="6">
        <f>IF(S1130="",MEDIAN($S$2:$S$1409),S1130)</f>
        <v>77.099999999999994</v>
      </c>
    </row>
    <row r="1131" spans="1:20" ht="15" customHeight="1">
      <c r="A1131" s="6" t="s">
        <v>1166</v>
      </c>
      <c r="B1131" s="7">
        <v>45737</v>
      </c>
      <c r="C1131" s="6" t="s">
        <v>727</v>
      </c>
      <c r="D1131" s="6" t="s">
        <v>27</v>
      </c>
      <c r="E1131" s="6" t="s">
        <v>28</v>
      </c>
      <c r="F1131" s="6" t="str">
        <f>IF(E1131="","Unknown",E1131)</f>
        <v>Mobile</v>
      </c>
      <c r="G1131" s="6" t="s">
        <v>29</v>
      </c>
      <c r="H1131" s="6" t="str">
        <f>IF(G1131="","Unknown",G1131)</f>
        <v>Organic</v>
      </c>
      <c r="I1131" s="6" t="s">
        <v>30</v>
      </c>
      <c r="J1131" s="6">
        <v>1</v>
      </c>
      <c r="K1131" s="6">
        <v>0</v>
      </c>
      <c r="L1131" s="6">
        <v>0</v>
      </c>
      <c r="M1131" s="6">
        <v>0</v>
      </c>
      <c r="N1131" s="6">
        <v>0</v>
      </c>
      <c r="O1131" s="6">
        <v>0</v>
      </c>
      <c r="P1131" s="6">
        <f>IF(O1131&gt;0,1,0)</f>
        <v>0</v>
      </c>
      <c r="Q1131" s="6">
        <v>0</v>
      </c>
      <c r="S1131" s="6">
        <v>63.2</v>
      </c>
      <c r="T1131" s="6">
        <f>IF(S1131="",MEDIAN($S$2:$S$1409),S1131)</f>
        <v>63.2</v>
      </c>
    </row>
    <row r="1132" spans="1:20" ht="15" customHeight="1">
      <c r="A1132" s="6" t="s">
        <v>1167</v>
      </c>
      <c r="B1132" s="7">
        <v>45778</v>
      </c>
      <c r="C1132" s="6" t="s">
        <v>727</v>
      </c>
      <c r="D1132" s="6" t="s">
        <v>27</v>
      </c>
      <c r="E1132" s="6" t="s">
        <v>23</v>
      </c>
      <c r="F1132" s="6" t="str">
        <f>IF(E1132="","Unknown",E1132)</f>
        <v>Desktop</v>
      </c>
      <c r="G1132" s="6" t="s">
        <v>43</v>
      </c>
      <c r="H1132" s="6" t="str">
        <f>IF(G1132="","Unknown",G1132)</f>
        <v>Referral</v>
      </c>
      <c r="I1132" s="6" t="s">
        <v>30</v>
      </c>
      <c r="J1132" s="6">
        <v>1</v>
      </c>
      <c r="K1132" s="6">
        <v>1</v>
      </c>
      <c r="L1132" s="6">
        <v>1</v>
      </c>
      <c r="M1132" s="6">
        <v>0</v>
      </c>
      <c r="N1132" s="6">
        <v>0</v>
      </c>
      <c r="O1132" s="6">
        <v>3</v>
      </c>
      <c r="P1132" s="6">
        <f>IF(O1132&gt;0,1,0)</f>
        <v>1</v>
      </c>
      <c r="Q1132" s="6">
        <v>0</v>
      </c>
      <c r="S1132" s="6">
        <v>75.7</v>
      </c>
      <c r="T1132" s="6">
        <f>IF(S1132="",MEDIAN($S$2:$S$1409),S1132)</f>
        <v>75.7</v>
      </c>
    </row>
    <row r="1133" spans="1:20" ht="15" customHeight="1">
      <c r="A1133" s="6" t="s">
        <v>1168</v>
      </c>
      <c r="B1133" s="7">
        <v>45663</v>
      </c>
      <c r="C1133" s="6" t="s">
        <v>727</v>
      </c>
      <c r="D1133" s="6" t="s">
        <v>27</v>
      </c>
      <c r="E1133" s="6" t="s">
        <v>28</v>
      </c>
      <c r="F1133" s="6" t="str">
        <f>IF(E1133="","Unknown",E1133)</f>
        <v>Mobile</v>
      </c>
      <c r="G1133" s="6" t="s">
        <v>33</v>
      </c>
      <c r="H1133" s="6" t="str">
        <f>IF(G1133="","Unknown",G1133)</f>
        <v>Paid Search</v>
      </c>
      <c r="I1133" s="6" t="s">
        <v>25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f>IF(O1133&gt;0,1,0)</f>
        <v>0</v>
      </c>
      <c r="Q1133" s="6">
        <v>0</v>
      </c>
      <c r="S1133" s="6">
        <v>62.9</v>
      </c>
      <c r="T1133" s="6">
        <f>IF(S1133="",MEDIAN($S$2:$S$1409),S1133)</f>
        <v>62.9</v>
      </c>
    </row>
    <row r="1134" spans="1:20" ht="15" customHeight="1">
      <c r="A1134" s="6" t="s">
        <v>1169</v>
      </c>
      <c r="B1134" s="7">
        <v>45759</v>
      </c>
      <c r="C1134" s="6" t="s">
        <v>727</v>
      </c>
      <c r="D1134" s="6" t="s">
        <v>22</v>
      </c>
      <c r="E1134" s="6" t="s">
        <v>23</v>
      </c>
      <c r="F1134" s="6" t="str">
        <f>IF(E1134="","Unknown",E1134)</f>
        <v>Desktop</v>
      </c>
      <c r="G1134" s="6" t="s">
        <v>33</v>
      </c>
      <c r="H1134" s="6" t="str">
        <f>IF(G1134="","Unknown",G1134)</f>
        <v>Paid Search</v>
      </c>
      <c r="I1134" s="6" t="s">
        <v>34</v>
      </c>
      <c r="J1134" s="6">
        <v>1</v>
      </c>
      <c r="K1134" s="6">
        <v>0</v>
      </c>
      <c r="L1134" s="6">
        <v>0</v>
      </c>
      <c r="M1134" s="6">
        <v>0</v>
      </c>
      <c r="N1134" s="6">
        <v>0</v>
      </c>
      <c r="O1134" s="6">
        <v>3</v>
      </c>
      <c r="P1134" s="6">
        <f>IF(O1134&gt;0,1,0)</f>
        <v>1</v>
      </c>
      <c r="Q1134" s="6">
        <v>0</v>
      </c>
      <c r="S1134" s="6">
        <v>64.599999999999994</v>
      </c>
      <c r="T1134" s="6">
        <f>IF(S1134="",MEDIAN($S$2:$S$1409),S1134)</f>
        <v>64.599999999999994</v>
      </c>
    </row>
    <row r="1135" spans="1:20" ht="15" customHeight="1">
      <c r="A1135" s="6" t="s">
        <v>1170</v>
      </c>
      <c r="B1135" s="7">
        <v>45765</v>
      </c>
      <c r="C1135" s="6" t="s">
        <v>727</v>
      </c>
      <c r="D1135" s="6" t="s">
        <v>22</v>
      </c>
      <c r="E1135" s="6" t="s">
        <v>28</v>
      </c>
      <c r="F1135" s="6" t="str">
        <f>IF(E1135="","Unknown",E1135)</f>
        <v>Mobile</v>
      </c>
      <c r="G1135" s="6"/>
      <c r="H1135" s="6" t="str">
        <f>IF(G1135="","Unknown",G1135)</f>
        <v>Unknown</v>
      </c>
      <c r="I1135" s="6" t="s">
        <v>25</v>
      </c>
      <c r="J1135" s="6">
        <v>1</v>
      </c>
      <c r="K1135" s="6">
        <v>0</v>
      </c>
      <c r="L1135" s="6">
        <v>0</v>
      </c>
      <c r="M1135" s="6">
        <v>0</v>
      </c>
      <c r="N1135" s="6">
        <v>0</v>
      </c>
      <c r="O1135" s="6">
        <v>0</v>
      </c>
      <c r="P1135" s="6">
        <f>IF(O1135&gt;0,1,0)</f>
        <v>0</v>
      </c>
      <c r="Q1135" s="6">
        <v>0</v>
      </c>
      <c r="S1135" s="6">
        <v>76.599999999999994</v>
      </c>
      <c r="T1135" s="6">
        <f>IF(S1135="",MEDIAN($S$2:$S$1409),S1135)</f>
        <v>76.599999999999994</v>
      </c>
    </row>
    <row r="1136" spans="1:20" ht="15" customHeight="1">
      <c r="A1136" s="6" t="s">
        <v>1171</v>
      </c>
      <c r="B1136" s="7">
        <v>45740</v>
      </c>
      <c r="C1136" s="6" t="s">
        <v>727</v>
      </c>
      <c r="D1136" s="6" t="s">
        <v>32</v>
      </c>
      <c r="E1136" s="6" t="s">
        <v>28</v>
      </c>
      <c r="F1136" s="6" t="str">
        <f>IF(E1136="","Unknown",E1136)</f>
        <v>Mobile</v>
      </c>
      <c r="G1136" s="6" t="s">
        <v>45</v>
      </c>
      <c r="H1136" s="6" t="str">
        <f>IF(G1136="","Unknown",G1136)</f>
        <v>Social</v>
      </c>
      <c r="I1136" s="6" t="s">
        <v>25</v>
      </c>
      <c r="J1136" s="6">
        <v>1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f>IF(O1136&gt;0,1,0)</f>
        <v>0</v>
      </c>
      <c r="Q1136" s="6">
        <v>0</v>
      </c>
      <c r="S1136" s="6">
        <v>74.8</v>
      </c>
      <c r="T1136" s="6">
        <f>IF(S1136="",MEDIAN($S$2:$S$1409),S1136)</f>
        <v>74.8</v>
      </c>
    </row>
    <row r="1137" spans="1:20" ht="15" customHeight="1">
      <c r="A1137" s="6" t="s">
        <v>1172</v>
      </c>
      <c r="B1137" s="7">
        <v>45734</v>
      </c>
      <c r="C1137" s="6" t="s">
        <v>727</v>
      </c>
      <c r="D1137" s="6" t="s">
        <v>32</v>
      </c>
      <c r="E1137" s="6" t="s">
        <v>23</v>
      </c>
      <c r="F1137" s="6" t="str">
        <f>IF(E1137="","Unknown",E1137)</f>
        <v>Desktop</v>
      </c>
      <c r="G1137" s="6" t="s">
        <v>24</v>
      </c>
      <c r="H1137" s="6" t="str">
        <f>IF(G1137="","Unknown",G1137)</f>
        <v>Email</v>
      </c>
      <c r="I1137" s="6" t="s">
        <v>34</v>
      </c>
      <c r="J1137" s="6">
        <v>1</v>
      </c>
      <c r="K1137" s="6">
        <v>0</v>
      </c>
      <c r="L1137" s="6">
        <v>0</v>
      </c>
      <c r="M1137" s="6">
        <v>0</v>
      </c>
      <c r="N1137" s="6">
        <v>0</v>
      </c>
      <c r="O1137" s="6">
        <v>2</v>
      </c>
      <c r="P1137" s="6">
        <f>IF(O1137&gt;0,1,0)</f>
        <v>1</v>
      </c>
      <c r="Q1137" s="6">
        <v>0</v>
      </c>
      <c r="S1137" s="6">
        <v>38.1</v>
      </c>
      <c r="T1137" s="6">
        <f>IF(S1137="",MEDIAN($S$2:$S$1409),S1137)</f>
        <v>38.1</v>
      </c>
    </row>
    <row r="1138" spans="1:20" ht="15" customHeight="1">
      <c r="A1138" s="6" t="s">
        <v>1173</v>
      </c>
      <c r="B1138" s="7">
        <v>45777</v>
      </c>
      <c r="C1138" s="6" t="s">
        <v>727</v>
      </c>
      <c r="D1138" s="6" t="s">
        <v>36</v>
      </c>
      <c r="E1138" s="6" t="s">
        <v>38</v>
      </c>
      <c r="F1138" s="6" t="str">
        <f>IF(E1138="","Unknown",E1138)</f>
        <v>Tablet</v>
      </c>
      <c r="G1138" s="6" t="s">
        <v>33</v>
      </c>
      <c r="H1138" s="6" t="str">
        <f>IF(G1138="","Unknown",G1138)</f>
        <v>Paid Search</v>
      </c>
      <c r="I1138" s="6" t="s">
        <v>25</v>
      </c>
      <c r="J1138" s="6">
        <v>1</v>
      </c>
      <c r="K1138" s="6">
        <v>1</v>
      </c>
      <c r="L1138" s="6">
        <v>0</v>
      </c>
      <c r="M1138" s="6">
        <v>0</v>
      </c>
      <c r="N1138" s="6">
        <v>0</v>
      </c>
      <c r="O1138" s="6">
        <v>0</v>
      </c>
      <c r="P1138" s="6">
        <f>IF(O1138&gt;0,1,0)</f>
        <v>0</v>
      </c>
      <c r="Q1138" s="6">
        <v>0</v>
      </c>
      <c r="S1138" s="6">
        <v>60.2</v>
      </c>
      <c r="T1138" s="6">
        <f>IF(S1138="",MEDIAN($S$2:$S$1409),S1138)</f>
        <v>60.2</v>
      </c>
    </row>
    <row r="1139" spans="1:20" ht="15" customHeight="1">
      <c r="A1139" s="6" t="s">
        <v>1174</v>
      </c>
      <c r="B1139" s="7">
        <v>45682</v>
      </c>
      <c r="C1139" s="6" t="s">
        <v>727</v>
      </c>
      <c r="D1139" s="6" t="s">
        <v>27</v>
      </c>
      <c r="E1139" s="6" t="s">
        <v>28</v>
      </c>
      <c r="F1139" s="6" t="str">
        <f>IF(E1139="","Unknown",E1139)</f>
        <v>Mobile</v>
      </c>
      <c r="G1139" s="6" t="s">
        <v>24</v>
      </c>
      <c r="H1139" s="6" t="str">
        <f>IF(G1139="","Unknown",G1139)</f>
        <v>Email</v>
      </c>
      <c r="I1139" s="6" t="s">
        <v>30</v>
      </c>
      <c r="J1139" s="6">
        <v>1</v>
      </c>
      <c r="K1139" s="6">
        <v>1</v>
      </c>
      <c r="L1139" s="6">
        <v>0</v>
      </c>
      <c r="M1139" s="6">
        <v>0</v>
      </c>
      <c r="N1139" s="6">
        <v>0</v>
      </c>
      <c r="O1139" s="6">
        <v>0</v>
      </c>
      <c r="P1139" s="6">
        <f>IF(O1139&gt;0,1,0)</f>
        <v>0</v>
      </c>
      <c r="Q1139" s="6">
        <v>0</v>
      </c>
      <c r="S1139" s="6">
        <v>73.5</v>
      </c>
      <c r="T1139" s="6">
        <f>IF(S1139="",MEDIAN($S$2:$S$1409),S1139)</f>
        <v>73.5</v>
      </c>
    </row>
    <row r="1140" spans="1:20" ht="15" customHeight="1">
      <c r="A1140" s="6" t="s">
        <v>1175</v>
      </c>
      <c r="B1140" s="7">
        <v>45757</v>
      </c>
      <c r="C1140" s="6" t="s">
        <v>727</v>
      </c>
      <c r="D1140" s="6" t="s">
        <v>36</v>
      </c>
      <c r="E1140" s="6" t="s">
        <v>28</v>
      </c>
      <c r="F1140" s="6" t="str">
        <f>IF(E1140="","Unknown",E1140)</f>
        <v>Mobile</v>
      </c>
      <c r="G1140" s="6" t="s">
        <v>29</v>
      </c>
      <c r="H1140" s="6" t="str">
        <f>IF(G1140="","Unknown",G1140)</f>
        <v>Organic</v>
      </c>
      <c r="I1140" s="6" t="s">
        <v>30</v>
      </c>
      <c r="J1140" s="6">
        <v>1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f>IF(O1140&gt;0,1,0)</f>
        <v>0</v>
      </c>
      <c r="Q1140" s="6">
        <v>0</v>
      </c>
      <c r="S1140" s="6">
        <v>70.900000000000006</v>
      </c>
      <c r="T1140" s="6">
        <f>IF(S1140="",MEDIAN($S$2:$S$1409),S1140)</f>
        <v>70.900000000000006</v>
      </c>
    </row>
    <row r="1141" spans="1:20" ht="15" customHeight="1">
      <c r="A1141" s="6" t="s">
        <v>1176</v>
      </c>
      <c r="B1141" s="7">
        <v>45667</v>
      </c>
      <c r="C1141" s="6" t="s">
        <v>727</v>
      </c>
      <c r="D1141" s="6" t="s">
        <v>27</v>
      </c>
      <c r="E1141" s="6" t="s">
        <v>28</v>
      </c>
      <c r="F1141" s="6" t="str">
        <f>IF(E1141="","Unknown",E1141)</f>
        <v>Mobile</v>
      </c>
      <c r="G1141" s="6" t="s">
        <v>45</v>
      </c>
      <c r="H1141" s="6" t="str">
        <f>IF(G1141="","Unknown",G1141)</f>
        <v>Social</v>
      </c>
      <c r="I1141" s="6" t="s">
        <v>30</v>
      </c>
      <c r="J1141" s="6">
        <v>1</v>
      </c>
      <c r="K1141" s="6">
        <v>0</v>
      </c>
      <c r="L1141" s="6">
        <v>0</v>
      </c>
      <c r="M1141" s="6">
        <v>0</v>
      </c>
      <c r="N1141" s="6">
        <v>0</v>
      </c>
      <c r="O1141" s="6">
        <v>0</v>
      </c>
      <c r="P1141" s="6">
        <f>IF(O1141&gt;0,1,0)</f>
        <v>0</v>
      </c>
      <c r="Q1141" s="6">
        <v>0</v>
      </c>
      <c r="S1141" s="6">
        <v>63.7</v>
      </c>
      <c r="T1141" s="6">
        <f>IF(S1141="",MEDIAN($S$2:$S$1409),S1141)</f>
        <v>63.7</v>
      </c>
    </row>
    <row r="1142" spans="1:20" ht="15" customHeight="1">
      <c r="A1142" s="6" t="s">
        <v>1177</v>
      </c>
      <c r="B1142" s="7">
        <v>45699</v>
      </c>
      <c r="C1142" s="6" t="s">
        <v>727</v>
      </c>
      <c r="D1142" s="6" t="s">
        <v>36</v>
      </c>
      <c r="E1142" s="6" t="s">
        <v>28</v>
      </c>
      <c r="F1142" s="6" t="str">
        <f>IF(E1142="","Unknown",E1142)</f>
        <v>Mobile</v>
      </c>
      <c r="G1142" s="6" t="s">
        <v>33</v>
      </c>
      <c r="H1142" s="6" t="str">
        <f>IF(G1142="","Unknown",G1142)</f>
        <v>Paid Search</v>
      </c>
      <c r="I1142" s="6" t="s">
        <v>30</v>
      </c>
      <c r="J1142" s="6">
        <v>1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f>IF(O1142&gt;0,1,0)</f>
        <v>0</v>
      </c>
      <c r="Q1142" s="6">
        <v>0</v>
      </c>
      <c r="S1142" s="6">
        <v>86.5</v>
      </c>
      <c r="T1142" s="6">
        <f>IF(S1142="",MEDIAN($S$2:$S$1409),S1142)</f>
        <v>86.5</v>
      </c>
    </row>
    <row r="1143" spans="1:20" ht="15" customHeight="1">
      <c r="A1143" s="6" t="s">
        <v>1178</v>
      </c>
      <c r="B1143" s="7">
        <v>45778</v>
      </c>
      <c r="C1143" s="6" t="s">
        <v>727</v>
      </c>
      <c r="D1143" s="6" t="s">
        <v>32</v>
      </c>
      <c r="E1143" s="6" t="s">
        <v>28</v>
      </c>
      <c r="F1143" s="6" t="str">
        <f>IF(E1143="","Unknown",E1143)</f>
        <v>Mobile</v>
      </c>
      <c r="G1143" s="6" t="s">
        <v>45</v>
      </c>
      <c r="H1143" s="6" t="str">
        <f>IF(G1143="","Unknown",G1143)</f>
        <v>Social</v>
      </c>
      <c r="I1143" s="6" t="s">
        <v>25</v>
      </c>
      <c r="J1143" s="6">
        <v>1</v>
      </c>
      <c r="K1143" s="6">
        <v>1</v>
      </c>
      <c r="L1143" s="6">
        <v>1</v>
      </c>
      <c r="M1143" s="6">
        <v>1</v>
      </c>
      <c r="N1143" s="6">
        <v>921.72</v>
      </c>
      <c r="O1143" s="6">
        <v>3</v>
      </c>
      <c r="P1143" s="6">
        <f>IF(O1143&gt;0,1,0)</f>
        <v>1</v>
      </c>
      <c r="Q1143" s="6">
        <v>0</v>
      </c>
      <c r="R1143" s="6">
        <v>7</v>
      </c>
      <c r="S1143" s="6">
        <v>74.599999999999994</v>
      </c>
      <c r="T1143" s="6">
        <f>IF(S1143="",MEDIAN($S$2:$S$1409),S1143)</f>
        <v>74.599999999999994</v>
      </c>
    </row>
    <row r="1144" spans="1:20" ht="15" customHeight="1">
      <c r="A1144" s="6" t="s">
        <v>1179</v>
      </c>
      <c r="B1144" s="7">
        <v>45675</v>
      </c>
      <c r="C1144" s="6" t="s">
        <v>727</v>
      </c>
      <c r="D1144" s="6" t="s">
        <v>32</v>
      </c>
      <c r="E1144" s="6" t="s">
        <v>28</v>
      </c>
      <c r="F1144" s="6" t="str">
        <f>IF(E1144="","Unknown",E1144)</f>
        <v>Mobile</v>
      </c>
      <c r="G1144" s="6" t="s">
        <v>29</v>
      </c>
      <c r="H1144" s="6" t="str">
        <f>IF(G1144="","Unknown",G1144)</f>
        <v>Organic</v>
      </c>
      <c r="I1144" s="6" t="s">
        <v>30</v>
      </c>
      <c r="J1144" s="6">
        <v>1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f>IF(O1144&gt;0,1,0)</f>
        <v>0</v>
      </c>
      <c r="Q1144" s="6">
        <v>0</v>
      </c>
      <c r="S1144" s="6">
        <v>46.6</v>
      </c>
      <c r="T1144" s="6">
        <f>IF(S1144="",MEDIAN($S$2:$S$1409),S1144)</f>
        <v>46.6</v>
      </c>
    </row>
    <row r="1145" spans="1:20" ht="15" customHeight="1">
      <c r="A1145" s="6" t="s">
        <v>1180</v>
      </c>
      <c r="B1145" s="7">
        <v>45659</v>
      </c>
      <c r="C1145" s="6" t="s">
        <v>727</v>
      </c>
      <c r="D1145" s="6" t="s">
        <v>22</v>
      </c>
      <c r="E1145" s="6" t="s">
        <v>28</v>
      </c>
      <c r="F1145" s="6" t="str">
        <f>IF(E1145="","Unknown",E1145)</f>
        <v>Mobile</v>
      </c>
      <c r="G1145" s="6" t="s">
        <v>33</v>
      </c>
      <c r="H1145" s="6" t="str">
        <f>IF(G1145="","Unknown",G1145)</f>
        <v>Paid Search</v>
      </c>
      <c r="I1145" s="6" t="s">
        <v>30</v>
      </c>
      <c r="J1145" s="6">
        <v>0</v>
      </c>
      <c r="K1145" s="6"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f>IF(O1145&gt;0,1,0)</f>
        <v>0</v>
      </c>
      <c r="Q1145" s="6">
        <v>0</v>
      </c>
      <c r="S1145" s="6">
        <v>61.2</v>
      </c>
      <c r="T1145" s="6">
        <f>IF(S1145="",MEDIAN($S$2:$S$1409),S1145)</f>
        <v>61.2</v>
      </c>
    </row>
    <row r="1146" spans="1:20" ht="15" customHeight="1">
      <c r="A1146" s="6" t="s">
        <v>1181</v>
      </c>
      <c r="B1146" s="7">
        <v>45788</v>
      </c>
      <c r="C1146" s="6" t="s">
        <v>727</v>
      </c>
      <c r="D1146" s="6" t="s">
        <v>27</v>
      </c>
      <c r="E1146" s="6" t="s">
        <v>28</v>
      </c>
      <c r="F1146" s="6" t="str">
        <f>IF(E1146="","Unknown",E1146)</f>
        <v>Mobile</v>
      </c>
      <c r="G1146" s="6" t="s">
        <v>29</v>
      </c>
      <c r="H1146" s="6" t="str">
        <f>IF(G1146="","Unknown",G1146)</f>
        <v>Organic</v>
      </c>
      <c r="I1146" s="6" t="s">
        <v>30</v>
      </c>
      <c r="J1146" s="6">
        <v>1</v>
      </c>
      <c r="K1146" s="6">
        <v>1</v>
      </c>
      <c r="L1146" s="6">
        <v>1</v>
      </c>
      <c r="M1146" s="6">
        <v>1</v>
      </c>
      <c r="N1146" s="6">
        <v>290.39</v>
      </c>
      <c r="O1146" s="6">
        <v>0</v>
      </c>
      <c r="P1146" s="6">
        <f>IF(O1146&gt;0,1,0)</f>
        <v>0</v>
      </c>
      <c r="Q1146" s="6">
        <v>0</v>
      </c>
      <c r="R1146" s="6">
        <v>4</v>
      </c>
      <c r="S1146" s="6">
        <v>54.4</v>
      </c>
      <c r="T1146" s="6">
        <f>IF(S1146="",MEDIAN($S$2:$S$1409),S1146)</f>
        <v>54.4</v>
      </c>
    </row>
    <row r="1147" spans="1:20" ht="15" customHeight="1">
      <c r="A1147" s="6" t="s">
        <v>1182</v>
      </c>
      <c r="B1147" s="7">
        <v>45738</v>
      </c>
      <c r="C1147" s="6" t="s">
        <v>727</v>
      </c>
      <c r="D1147" s="6" t="s">
        <v>22</v>
      </c>
      <c r="E1147" s="6" t="s">
        <v>28</v>
      </c>
      <c r="F1147" s="6" t="str">
        <f>IF(E1147="","Unknown",E1147)</f>
        <v>Mobile</v>
      </c>
      <c r="G1147" s="6" t="s">
        <v>43</v>
      </c>
      <c r="H1147" s="6" t="str">
        <f>IF(G1147="","Unknown",G1147)</f>
        <v>Referral</v>
      </c>
      <c r="I1147" s="6" t="s">
        <v>30</v>
      </c>
      <c r="J1147" s="6">
        <v>1</v>
      </c>
      <c r="K1147" s="6">
        <v>1</v>
      </c>
      <c r="L1147" s="6">
        <v>1</v>
      </c>
      <c r="M1147" s="6">
        <v>0</v>
      </c>
      <c r="N1147" s="6">
        <v>0</v>
      </c>
      <c r="O1147" s="6">
        <v>0</v>
      </c>
      <c r="P1147" s="6">
        <f>IF(O1147&gt;0,1,0)</f>
        <v>0</v>
      </c>
      <c r="Q1147" s="6">
        <v>0</v>
      </c>
      <c r="S1147" s="6">
        <v>72</v>
      </c>
      <c r="T1147" s="6">
        <f>IF(S1147="",MEDIAN($S$2:$S$1409),S1147)</f>
        <v>72</v>
      </c>
    </row>
    <row r="1148" spans="1:20" ht="15" customHeight="1">
      <c r="A1148" s="6" t="s">
        <v>1183</v>
      </c>
      <c r="B1148" s="7">
        <v>45779</v>
      </c>
      <c r="C1148" s="6" t="s">
        <v>727</v>
      </c>
      <c r="D1148" s="6" t="s">
        <v>36</v>
      </c>
      <c r="E1148" s="6" t="s">
        <v>28</v>
      </c>
      <c r="F1148" s="6" t="str">
        <f>IF(E1148="","Unknown",E1148)</f>
        <v>Mobile</v>
      </c>
      <c r="G1148" s="6" t="s">
        <v>45</v>
      </c>
      <c r="H1148" s="6" t="str">
        <f>IF(G1148="","Unknown",G1148)</f>
        <v>Social</v>
      </c>
      <c r="I1148" s="6" t="s">
        <v>34</v>
      </c>
      <c r="J1148" s="6">
        <v>1</v>
      </c>
      <c r="K1148" s="6">
        <v>1</v>
      </c>
      <c r="L1148" s="6">
        <v>1</v>
      </c>
      <c r="M1148" s="6">
        <v>1</v>
      </c>
      <c r="N1148" s="6">
        <v>1858.85</v>
      </c>
      <c r="O1148" s="6">
        <v>0</v>
      </c>
      <c r="P1148" s="6">
        <f>IF(O1148&gt;0,1,0)</f>
        <v>0</v>
      </c>
      <c r="Q1148" s="6">
        <v>0</v>
      </c>
      <c r="R1148" s="6">
        <v>8</v>
      </c>
      <c r="S1148" s="6">
        <v>88.6</v>
      </c>
      <c r="T1148" s="6">
        <f>IF(S1148="",MEDIAN($S$2:$S$1409),S1148)</f>
        <v>88.6</v>
      </c>
    </row>
    <row r="1149" spans="1:20" ht="15" customHeight="1">
      <c r="A1149" s="6" t="s">
        <v>1184</v>
      </c>
      <c r="B1149" s="7">
        <v>45803</v>
      </c>
      <c r="C1149" s="6" t="s">
        <v>727</v>
      </c>
      <c r="D1149" s="6" t="s">
        <v>32</v>
      </c>
      <c r="E1149" s="6" t="s">
        <v>23</v>
      </c>
      <c r="F1149" s="6" t="str">
        <f>IF(E1149="","Unknown",E1149)</f>
        <v>Desktop</v>
      </c>
      <c r="G1149" s="6"/>
      <c r="H1149" s="6" t="str">
        <f>IF(G1149="","Unknown",G1149)</f>
        <v>Unknown</v>
      </c>
      <c r="I1149" s="6" t="s">
        <v>25</v>
      </c>
      <c r="J1149" s="6">
        <v>1</v>
      </c>
      <c r="K1149" s="6">
        <v>0</v>
      </c>
      <c r="L1149" s="6">
        <v>0</v>
      </c>
      <c r="M1149" s="6">
        <v>0</v>
      </c>
      <c r="N1149" s="6">
        <v>0</v>
      </c>
      <c r="O1149" s="6">
        <v>0</v>
      </c>
      <c r="P1149" s="6">
        <f>IF(O1149&gt;0,1,0)</f>
        <v>0</v>
      </c>
      <c r="Q1149" s="6">
        <v>0</v>
      </c>
      <c r="S1149" s="6">
        <v>77.599999999999994</v>
      </c>
      <c r="T1149" s="6">
        <f>IF(S1149="",MEDIAN($S$2:$S$1409),S1149)</f>
        <v>77.599999999999994</v>
      </c>
    </row>
    <row r="1150" spans="1:20" ht="15" customHeight="1">
      <c r="A1150" s="6" t="s">
        <v>1185</v>
      </c>
      <c r="B1150" s="7">
        <v>45729</v>
      </c>
      <c r="C1150" s="6" t="s">
        <v>727</v>
      </c>
      <c r="D1150" s="6" t="s">
        <v>36</v>
      </c>
      <c r="E1150" s="6" t="s">
        <v>28</v>
      </c>
      <c r="F1150" s="6" t="str">
        <f>IF(E1150="","Unknown",E1150)</f>
        <v>Mobile</v>
      </c>
      <c r="G1150" s="6" t="s">
        <v>29</v>
      </c>
      <c r="H1150" s="6" t="str">
        <f>IF(G1150="","Unknown",G1150)</f>
        <v>Organic</v>
      </c>
      <c r="I1150" s="6" t="s">
        <v>25</v>
      </c>
      <c r="J1150" s="6">
        <v>1</v>
      </c>
      <c r="K1150" s="6">
        <v>0</v>
      </c>
      <c r="L1150" s="6">
        <v>0</v>
      </c>
      <c r="M1150" s="6">
        <v>0</v>
      </c>
      <c r="N1150" s="6">
        <v>0</v>
      </c>
      <c r="O1150" s="6">
        <v>1</v>
      </c>
      <c r="P1150" s="6">
        <f>IF(O1150&gt;0,1,0)</f>
        <v>1</v>
      </c>
      <c r="Q1150" s="6">
        <v>0</v>
      </c>
      <c r="S1150" s="6">
        <v>44.3</v>
      </c>
      <c r="T1150" s="6">
        <f>IF(S1150="",MEDIAN($S$2:$S$1409),S1150)</f>
        <v>44.3</v>
      </c>
    </row>
    <row r="1151" spans="1:20" ht="15" customHeight="1">
      <c r="A1151" s="6" t="s">
        <v>1186</v>
      </c>
      <c r="B1151" s="7">
        <v>45794</v>
      </c>
      <c r="C1151" s="6" t="s">
        <v>727</v>
      </c>
      <c r="D1151" s="6" t="s">
        <v>36</v>
      </c>
      <c r="E1151" s="6" t="s">
        <v>23</v>
      </c>
      <c r="F1151" s="6" t="str">
        <f>IF(E1151="","Unknown",E1151)</f>
        <v>Desktop</v>
      </c>
      <c r="G1151" s="6" t="s">
        <v>33</v>
      </c>
      <c r="H1151" s="6" t="str">
        <f>IF(G1151="","Unknown",G1151)</f>
        <v>Paid Search</v>
      </c>
      <c r="I1151" s="6" t="s">
        <v>30</v>
      </c>
      <c r="J1151" s="6">
        <v>1</v>
      </c>
      <c r="K1151" s="6">
        <v>1</v>
      </c>
      <c r="L1151" s="6">
        <v>0</v>
      </c>
      <c r="M1151" s="6">
        <v>0</v>
      </c>
      <c r="N1151" s="6">
        <v>0</v>
      </c>
      <c r="O1151" s="6">
        <v>0</v>
      </c>
      <c r="P1151" s="6">
        <f>IF(O1151&gt;0,1,0)</f>
        <v>0</v>
      </c>
      <c r="Q1151" s="6">
        <v>0</v>
      </c>
      <c r="S1151" s="6">
        <v>49</v>
      </c>
      <c r="T1151" s="6">
        <f>IF(S1151="",MEDIAN($S$2:$S$1409),S1151)</f>
        <v>49</v>
      </c>
    </row>
    <row r="1152" spans="1:20" ht="15" customHeight="1">
      <c r="A1152" s="6" t="s">
        <v>1187</v>
      </c>
      <c r="B1152" s="7">
        <v>45729</v>
      </c>
      <c r="C1152" s="6" t="s">
        <v>727</v>
      </c>
      <c r="D1152" s="6" t="s">
        <v>22</v>
      </c>
      <c r="E1152" s="6" t="s">
        <v>23</v>
      </c>
      <c r="F1152" s="6" t="str">
        <f>IF(E1152="","Unknown",E1152)</f>
        <v>Desktop</v>
      </c>
      <c r="G1152" s="6" t="s">
        <v>43</v>
      </c>
      <c r="H1152" s="6" t="str">
        <f>IF(G1152="","Unknown",G1152)</f>
        <v>Referral</v>
      </c>
      <c r="I1152" s="6" t="s">
        <v>34</v>
      </c>
      <c r="J1152" s="6">
        <v>1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f>IF(O1152&gt;0,1,0)</f>
        <v>0</v>
      </c>
      <c r="Q1152" s="6">
        <v>0</v>
      </c>
      <c r="S1152" s="6">
        <v>53.9</v>
      </c>
      <c r="T1152" s="6">
        <f>IF(S1152="",MEDIAN($S$2:$S$1409),S1152)</f>
        <v>53.9</v>
      </c>
    </row>
    <row r="1153" spans="1:20" ht="15" customHeight="1">
      <c r="A1153" s="6" t="s">
        <v>1188</v>
      </c>
      <c r="B1153" s="7">
        <v>45699</v>
      </c>
      <c r="C1153" s="6" t="s">
        <v>727</v>
      </c>
      <c r="D1153" s="6" t="s">
        <v>32</v>
      </c>
      <c r="E1153" s="6" t="s">
        <v>23</v>
      </c>
      <c r="F1153" s="6" t="str">
        <f>IF(E1153="","Unknown",E1153)</f>
        <v>Desktop</v>
      </c>
      <c r="G1153" s="6" t="s">
        <v>29</v>
      </c>
      <c r="H1153" s="6" t="str">
        <f>IF(G1153="","Unknown",G1153)</f>
        <v>Organic</v>
      </c>
      <c r="I1153" s="6" t="s">
        <v>25</v>
      </c>
      <c r="J1153" s="6">
        <v>1</v>
      </c>
      <c r="K1153" s="6">
        <v>0</v>
      </c>
      <c r="L1153" s="6">
        <v>0</v>
      </c>
      <c r="M1153" s="6">
        <v>0</v>
      </c>
      <c r="N1153" s="6">
        <v>0</v>
      </c>
      <c r="O1153" s="6">
        <v>1</v>
      </c>
      <c r="P1153" s="6">
        <f>IF(O1153&gt;0,1,0)</f>
        <v>1</v>
      </c>
      <c r="Q1153" s="6">
        <v>0</v>
      </c>
      <c r="S1153" s="6">
        <v>69</v>
      </c>
      <c r="T1153" s="6">
        <f>IF(S1153="",MEDIAN($S$2:$S$1409),S1153)</f>
        <v>69</v>
      </c>
    </row>
    <row r="1154" spans="1:20" ht="15" customHeight="1">
      <c r="A1154" s="6" t="s">
        <v>1189</v>
      </c>
      <c r="B1154" s="7">
        <v>45717</v>
      </c>
      <c r="C1154" s="6" t="s">
        <v>727</v>
      </c>
      <c r="D1154" s="6" t="s">
        <v>27</v>
      </c>
      <c r="E1154" s="6" t="s">
        <v>28</v>
      </c>
      <c r="F1154" s="6" t="str">
        <f>IF(E1154="","Unknown",E1154)</f>
        <v>Mobile</v>
      </c>
      <c r="G1154" s="6" t="s">
        <v>45</v>
      </c>
      <c r="H1154" s="6" t="str">
        <f>IF(G1154="","Unknown",G1154)</f>
        <v>Social</v>
      </c>
      <c r="I1154" s="6" t="s">
        <v>30</v>
      </c>
      <c r="J1154" s="6">
        <v>0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f>IF(O1154&gt;0,1,0)</f>
        <v>0</v>
      </c>
      <c r="Q1154" s="6">
        <v>0</v>
      </c>
      <c r="S1154" s="6">
        <v>37.4</v>
      </c>
      <c r="T1154" s="6">
        <f>IF(S1154="",MEDIAN($S$2:$S$1409),S1154)</f>
        <v>37.4</v>
      </c>
    </row>
    <row r="1155" spans="1:20" ht="15" customHeight="1">
      <c r="A1155" s="6" t="s">
        <v>1190</v>
      </c>
      <c r="B1155" s="7">
        <v>45762</v>
      </c>
      <c r="C1155" s="6" t="s">
        <v>727</v>
      </c>
      <c r="D1155" s="6" t="s">
        <v>27</v>
      </c>
      <c r="E1155" s="6" t="s">
        <v>28</v>
      </c>
      <c r="F1155" s="6" t="str">
        <f>IF(E1155="","Unknown",E1155)</f>
        <v>Mobile</v>
      </c>
      <c r="G1155" s="6" t="s">
        <v>29</v>
      </c>
      <c r="H1155" s="6" t="str">
        <f>IF(G1155="","Unknown",G1155)</f>
        <v>Organic</v>
      </c>
      <c r="I1155" s="6" t="s">
        <v>25</v>
      </c>
      <c r="J1155" s="6">
        <v>0</v>
      </c>
      <c r="K1155" s="6">
        <v>0</v>
      </c>
      <c r="L1155" s="6">
        <v>0</v>
      </c>
      <c r="M1155" s="6">
        <v>0</v>
      </c>
      <c r="N1155" s="6">
        <v>0</v>
      </c>
      <c r="O1155" s="6">
        <v>0</v>
      </c>
      <c r="P1155" s="6">
        <f>IF(O1155&gt;0,1,0)</f>
        <v>0</v>
      </c>
      <c r="Q1155" s="6">
        <v>0</v>
      </c>
      <c r="S1155" s="6">
        <v>59</v>
      </c>
      <c r="T1155" s="6">
        <f>IF(S1155="",MEDIAN($S$2:$S$1409),S1155)</f>
        <v>59</v>
      </c>
    </row>
    <row r="1156" spans="1:20" ht="15" customHeight="1">
      <c r="A1156" s="6" t="s">
        <v>1191</v>
      </c>
      <c r="B1156" s="7">
        <v>45690</v>
      </c>
      <c r="C1156" s="6" t="s">
        <v>727</v>
      </c>
      <c r="D1156" s="6" t="s">
        <v>32</v>
      </c>
      <c r="E1156" s="6" t="s">
        <v>28</v>
      </c>
      <c r="F1156" s="6" t="str">
        <f>IF(E1156="","Unknown",E1156)</f>
        <v>Mobile</v>
      </c>
      <c r="G1156" s="6" t="s">
        <v>29</v>
      </c>
      <c r="H1156" s="6" t="str">
        <f>IF(G1156="","Unknown",G1156)</f>
        <v>Organic</v>
      </c>
      <c r="I1156" s="6" t="s">
        <v>34</v>
      </c>
      <c r="J1156" s="6">
        <v>1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f>IF(O1156&gt;0,1,0)</f>
        <v>0</v>
      </c>
      <c r="Q1156" s="6">
        <v>0</v>
      </c>
      <c r="S1156" s="6">
        <v>60.8</v>
      </c>
      <c r="T1156" s="6">
        <f>IF(S1156="",MEDIAN($S$2:$S$1409),S1156)</f>
        <v>60.8</v>
      </c>
    </row>
    <row r="1157" spans="1:20" ht="15" customHeight="1">
      <c r="A1157" s="6" t="s">
        <v>1192</v>
      </c>
      <c r="B1157" s="7">
        <v>45796</v>
      </c>
      <c r="C1157" s="6" t="s">
        <v>727</v>
      </c>
      <c r="D1157" s="6" t="s">
        <v>36</v>
      </c>
      <c r="E1157" s="6" t="s">
        <v>28</v>
      </c>
      <c r="F1157" s="6" t="str">
        <f>IF(E1157="","Unknown",E1157)</f>
        <v>Mobile</v>
      </c>
      <c r="G1157" s="6" t="s">
        <v>24</v>
      </c>
      <c r="H1157" s="6" t="str">
        <f>IF(G1157="","Unknown",G1157)</f>
        <v>Email</v>
      </c>
      <c r="I1157" s="6" t="s">
        <v>30</v>
      </c>
      <c r="J1157" s="6">
        <v>1</v>
      </c>
      <c r="K1157" s="6">
        <v>0</v>
      </c>
      <c r="L1157" s="6">
        <v>0</v>
      </c>
      <c r="M1157" s="6">
        <v>0</v>
      </c>
      <c r="N1157" s="6">
        <v>0</v>
      </c>
      <c r="O1157" s="6">
        <v>0</v>
      </c>
      <c r="P1157" s="6">
        <f>IF(O1157&gt;0,1,0)</f>
        <v>0</v>
      </c>
      <c r="Q1157" s="6">
        <v>0</v>
      </c>
      <c r="S1157" s="6">
        <v>57.5</v>
      </c>
      <c r="T1157" s="6">
        <f>IF(S1157="",MEDIAN($S$2:$S$1409),S1157)</f>
        <v>57.5</v>
      </c>
    </row>
    <row r="1158" spans="1:20" ht="15" customHeight="1">
      <c r="A1158" s="6" t="s">
        <v>1193</v>
      </c>
      <c r="B1158" s="7">
        <v>45662</v>
      </c>
      <c r="C1158" s="6" t="s">
        <v>727</v>
      </c>
      <c r="D1158" s="6" t="s">
        <v>27</v>
      </c>
      <c r="E1158" s="6" t="s">
        <v>28</v>
      </c>
      <c r="F1158" s="6" t="str">
        <f>IF(E1158="","Unknown",E1158)</f>
        <v>Mobile</v>
      </c>
      <c r="G1158" s="6" t="s">
        <v>43</v>
      </c>
      <c r="H1158" s="6" t="str">
        <f>IF(G1158="","Unknown",G1158)</f>
        <v>Referral</v>
      </c>
      <c r="I1158" s="6" t="s">
        <v>30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f>IF(O1158&gt;0,1,0)</f>
        <v>0</v>
      </c>
      <c r="Q1158" s="6">
        <v>0</v>
      </c>
      <c r="S1158" s="6">
        <v>84.2</v>
      </c>
      <c r="T1158" s="6">
        <f>IF(S1158="",MEDIAN($S$2:$S$1409),S1158)</f>
        <v>84.2</v>
      </c>
    </row>
    <row r="1159" spans="1:20" ht="15" customHeight="1">
      <c r="A1159" s="6" t="s">
        <v>1194</v>
      </c>
      <c r="B1159" s="7">
        <v>45724</v>
      </c>
      <c r="C1159" s="6" t="s">
        <v>727</v>
      </c>
      <c r="D1159" s="6" t="s">
        <v>36</v>
      </c>
      <c r="E1159" s="6" t="s">
        <v>28</v>
      </c>
      <c r="F1159" s="6" t="str">
        <f>IF(E1159="","Unknown",E1159)</f>
        <v>Mobile</v>
      </c>
      <c r="G1159" s="6" t="s">
        <v>33</v>
      </c>
      <c r="H1159" s="6" t="str">
        <f>IF(G1159="","Unknown",G1159)</f>
        <v>Paid Search</v>
      </c>
      <c r="I1159" s="6" t="s">
        <v>30</v>
      </c>
      <c r="J1159" s="6">
        <v>1</v>
      </c>
      <c r="K1159" s="6">
        <v>1</v>
      </c>
      <c r="L1159" s="6">
        <v>0</v>
      </c>
      <c r="M1159" s="6">
        <v>0</v>
      </c>
      <c r="N1159" s="6">
        <v>0</v>
      </c>
      <c r="O1159" s="6">
        <v>0</v>
      </c>
      <c r="P1159" s="6">
        <f>IF(O1159&gt;0,1,0)</f>
        <v>0</v>
      </c>
      <c r="Q1159" s="6">
        <v>0</v>
      </c>
      <c r="S1159" s="6">
        <v>27.4</v>
      </c>
      <c r="T1159" s="6">
        <f>IF(S1159="",MEDIAN($S$2:$S$1409),S1159)</f>
        <v>27.4</v>
      </c>
    </row>
    <row r="1160" spans="1:20" ht="15" customHeight="1">
      <c r="A1160" s="6" t="s">
        <v>1195</v>
      </c>
      <c r="B1160" s="7">
        <v>45728</v>
      </c>
      <c r="C1160" s="6" t="s">
        <v>727</v>
      </c>
      <c r="D1160" s="6" t="s">
        <v>27</v>
      </c>
      <c r="E1160" s="6" t="s">
        <v>28</v>
      </c>
      <c r="F1160" s="6" t="str">
        <f>IF(E1160="","Unknown",E1160)</f>
        <v>Mobile</v>
      </c>
      <c r="G1160" s="6" t="s">
        <v>24</v>
      </c>
      <c r="H1160" s="6" t="str">
        <f>IF(G1160="","Unknown",G1160)</f>
        <v>Email</v>
      </c>
      <c r="I1160" s="6" t="s">
        <v>25</v>
      </c>
      <c r="J1160" s="6">
        <v>1</v>
      </c>
      <c r="K1160" s="6">
        <v>0</v>
      </c>
      <c r="L1160" s="6">
        <v>0</v>
      </c>
      <c r="M1160" s="6">
        <v>0</v>
      </c>
      <c r="N1160" s="6">
        <v>0</v>
      </c>
      <c r="O1160" s="6">
        <v>1</v>
      </c>
      <c r="P1160" s="6">
        <f>IF(O1160&gt;0,1,0)</f>
        <v>1</v>
      </c>
      <c r="Q1160" s="6">
        <v>0</v>
      </c>
      <c r="S1160" s="6">
        <v>67.599999999999994</v>
      </c>
      <c r="T1160" s="6">
        <f>IF(S1160="",MEDIAN($S$2:$S$1409),S1160)</f>
        <v>67.599999999999994</v>
      </c>
    </row>
    <row r="1161" spans="1:20" ht="15" customHeight="1">
      <c r="A1161" s="6" t="s">
        <v>1196</v>
      </c>
      <c r="B1161" s="7">
        <v>45681</v>
      </c>
      <c r="C1161" s="6" t="s">
        <v>727</v>
      </c>
      <c r="D1161" s="6" t="s">
        <v>27</v>
      </c>
      <c r="E1161" s="6" t="s">
        <v>28</v>
      </c>
      <c r="F1161" s="6" t="str">
        <f>IF(E1161="","Unknown",E1161)</f>
        <v>Mobile</v>
      </c>
      <c r="G1161" s="6" t="s">
        <v>29</v>
      </c>
      <c r="H1161" s="6" t="str">
        <f>IF(G1161="","Unknown",G1161)</f>
        <v>Organic</v>
      </c>
      <c r="I1161" s="6" t="s">
        <v>30</v>
      </c>
      <c r="J1161" s="6">
        <v>0</v>
      </c>
      <c r="K1161" s="6">
        <v>0</v>
      </c>
      <c r="L1161" s="6">
        <v>0</v>
      </c>
      <c r="M1161" s="6">
        <v>0</v>
      </c>
      <c r="N1161" s="6">
        <v>0</v>
      </c>
      <c r="O1161" s="6">
        <v>0</v>
      </c>
      <c r="P1161" s="6">
        <f>IF(O1161&gt;0,1,0)</f>
        <v>0</v>
      </c>
      <c r="Q1161" s="6">
        <v>0</v>
      </c>
      <c r="S1161" s="6">
        <v>68.400000000000006</v>
      </c>
      <c r="T1161" s="6">
        <f>IF(S1161="",MEDIAN($S$2:$S$1409),S1161)</f>
        <v>68.400000000000006</v>
      </c>
    </row>
    <row r="1162" spans="1:20" ht="15" customHeight="1">
      <c r="A1162" s="6" t="s">
        <v>1197</v>
      </c>
      <c r="B1162" s="7">
        <v>45799</v>
      </c>
      <c r="C1162" s="6" t="s">
        <v>727</v>
      </c>
      <c r="D1162" s="6" t="s">
        <v>36</v>
      </c>
      <c r="E1162" s="6" t="s">
        <v>28</v>
      </c>
      <c r="F1162" s="6" t="str">
        <f>IF(E1162="","Unknown",E1162)</f>
        <v>Mobile</v>
      </c>
      <c r="G1162" s="6" t="s">
        <v>33</v>
      </c>
      <c r="H1162" s="6" t="str">
        <f>IF(G1162="","Unknown",G1162)</f>
        <v>Paid Search</v>
      </c>
      <c r="I1162" s="6" t="s">
        <v>25</v>
      </c>
      <c r="J1162" s="6">
        <v>1</v>
      </c>
      <c r="K1162" s="6">
        <v>1</v>
      </c>
      <c r="L1162" s="6">
        <v>1</v>
      </c>
      <c r="M1162" s="6">
        <v>0</v>
      </c>
      <c r="N1162" s="6">
        <v>0</v>
      </c>
      <c r="O1162" s="6">
        <v>0</v>
      </c>
      <c r="P1162" s="6">
        <f>IF(O1162&gt;0,1,0)</f>
        <v>0</v>
      </c>
      <c r="Q1162" s="6">
        <v>0</v>
      </c>
      <c r="S1162" s="6">
        <v>66.5</v>
      </c>
      <c r="T1162" s="6">
        <f>IF(S1162="",MEDIAN($S$2:$S$1409),S1162)</f>
        <v>66.5</v>
      </c>
    </row>
    <row r="1163" spans="1:20" ht="15" customHeight="1">
      <c r="A1163" s="6" t="s">
        <v>1198</v>
      </c>
      <c r="B1163" s="7">
        <v>45743</v>
      </c>
      <c r="C1163" s="6" t="s">
        <v>727</v>
      </c>
      <c r="D1163" s="6" t="s">
        <v>36</v>
      </c>
      <c r="E1163" s="6" t="s">
        <v>28</v>
      </c>
      <c r="F1163" s="6" t="str">
        <f>IF(E1163="","Unknown",E1163)</f>
        <v>Mobile</v>
      </c>
      <c r="G1163" s="6" t="s">
        <v>33</v>
      </c>
      <c r="H1163" s="6" t="str">
        <f>IF(G1163="","Unknown",G1163)</f>
        <v>Paid Search</v>
      </c>
      <c r="I1163" s="6" t="s">
        <v>30</v>
      </c>
      <c r="J1163" s="6">
        <v>1</v>
      </c>
      <c r="K1163" s="6">
        <v>0</v>
      </c>
      <c r="L1163" s="6">
        <v>0</v>
      </c>
      <c r="M1163" s="6">
        <v>0</v>
      </c>
      <c r="N1163" s="6">
        <v>0</v>
      </c>
      <c r="O1163" s="6">
        <v>0</v>
      </c>
      <c r="P1163" s="6">
        <f>IF(O1163&gt;0,1,0)</f>
        <v>0</v>
      </c>
      <c r="Q1163" s="6">
        <v>0</v>
      </c>
      <c r="S1163" s="6">
        <v>38.200000000000003</v>
      </c>
      <c r="T1163" s="6">
        <f>IF(S1163="",MEDIAN($S$2:$S$1409),S1163)</f>
        <v>38.200000000000003</v>
      </c>
    </row>
    <row r="1164" spans="1:20" ht="15" customHeight="1">
      <c r="A1164" s="6" t="s">
        <v>1199</v>
      </c>
      <c r="B1164" s="7">
        <v>45659</v>
      </c>
      <c r="C1164" s="6" t="s">
        <v>727</v>
      </c>
      <c r="D1164" s="6" t="s">
        <v>27</v>
      </c>
      <c r="E1164" s="6" t="s">
        <v>28</v>
      </c>
      <c r="F1164" s="6" t="str">
        <f>IF(E1164="","Unknown",E1164)</f>
        <v>Mobile</v>
      </c>
      <c r="G1164" s="6" t="s">
        <v>45</v>
      </c>
      <c r="H1164" s="6" t="str">
        <f>IF(G1164="","Unknown",G1164)</f>
        <v>Social</v>
      </c>
      <c r="I1164" s="6" t="s">
        <v>30</v>
      </c>
      <c r="J1164" s="6">
        <v>0</v>
      </c>
      <c r="K1164" s="6">
        <v>0</v>
      </c>
      <c r="L1164" s="6">
        <v>0</v>
      </c>
      <c r="M1164" s="6">
        <v>0</v>
      </c>
      <c r="N1164" s="6">
        <v>0</v>
      </c>
      <c r="O1164" s="6">
        <v>1</v>
      </c>
      <c r="P1164" s="6">
        <f>IF(O1164&gt;0,1,0)</f>
        <v>1</v>
      </c>
      <c r="Q1164" s="6">
        <v>0</v>
      </c>
      <c r="S1164" s="6">
        <v>66.7</v>
      </c>
      <c r="T1164" s="6">
        <f>IF(S1164="",MEDIAN($S$2:$S$1409),S1164)</f>
        <v>66.7</v>
      </c>
    </row>
    <row r="1165" spans="1:20" ht="15" customHeight="1">
      <c r="A1165" s="6" t="s">
        <v>1200</v>
      </c>
      <c r="B1165" s="7">
        <v>45712</v>
      </c>
      <c r="C1165" s="6" t="s">
        <v>727</v>
      </c>
      <c r="D1165" s="6" t="s">
        <v>22</v>
      </c>
      <c r="E1165" s="6" t="s">
        <v>28</v>
      </c>
      <c r="F1165" s="6" t="str">
        <f>IF(E1165="","Unknown",E1165)</f>
        <v>Mobile</v>
      </c>
      <c r="G1165" s="6" t="s">
        <v>33</v>
      </c>
      <c r="H1165" s="6" t="str">
        <f>IF(G1165="","Unknown",G1165)</f>
        <v>Paid Search</v>
      </c>
      <c r="I1165" s="6" t="s">
        <v>30</v>
      </c>
      <c r="J1165" s="6">
        <v>0</v>
      </c>
      <c r="K1165" s="6">
        <v>0</v>
      </c>
      <c r="L1165" s="6">
        <v>0</v>
      </c>
      <c r="M1165" s="6">
        <v>0</v>
      </c>
      <c r="N1165" s="6">
        <v>0</v>
      </c>
      <c r="O1165" s="6">
        <v>1</v>
      </c>
      <c r="P1165" s="6">
        <f>IF(O1165&gt;0,1,0)</f>
        <v>1</v>
      </c>
      <c r="Q1165" s="6">
        <v>0</v>
      </c>
      <c r="S1165" s="6">
        <v>73.7</v>
      </c>
      <c r="T1165" s="6">
        <f>IF(S1165="",MEDIAN($S$2:$S$1409),S1165)</f>
        <v>73.7</v>
      </c>
    </row>
    <row r="1166" spans="1:20" ht="15" customHeight="1">
      <c r="A1166" s="6" t="s">
        <v>1201</v>
      </c>
      <c r="B1166" s="7">
        <v>45717</v>
      </c>
      <c r="C1166" s="6" t="s">
        <v>727</v>
      </c>
      <c r="D1166" s="6" t="s">
        <v>27</v>
      </c>
      <c r="E1166" s="6" t="s">
        <v>23</v>
      </c>
      <c r="F1166" s="6" t="str">
        <f>IF(E1166="","Unknown",E1166)</f>
        <v>Desktop</v>
      </c>
      <c r="G1166" s="6" t="s">
        <v>29</v>
      </c>
      <c r="H1166" s="6" t="str">
        <f>IF(G1166="","Unknown",G1166)</f>
        <v>Organic</v>
      </c>
      <c r="I1166" s="6" t="s">
        <v>25</v>
      </c>
      <c r="J1166" s="6">
        <v>1</v>
      </c>
      <c r="K1166" s="6">
        <v>1</v>
      </c>
      <c r="L1166" s="6">
        <v>1</v>
      </c>
      <c r="M1166" s="6">
        <v>0</v>
      </c>
      <c r="N1166" s="6">
        <v>0</v>
      </c>
      <c r="O1166" s="6">
        <v>0</v>
      </c>
      <c r="P1166" s="6">
        <f>IF(O1166&gt;0,1,0)</f>
        <v>0</v>
      </c>
      <c r="Q1166" s="6">
        <v>0</v>
      </c>
      <c r="S1166" s="6">
        <v>63.9</v>
      </c>
      <c r="T1166" s="6">
        <f>IF(S1166="",MEDIAN($S$2:$S$1409),S1166)</f>
        <v>63.9</v>
      </c>
    </row>
    <row r="1167" spans="1:20" ht="15" customHeight="1">
      <c r="A1167" s="6" t="s">
        <v>1202</v>
      </c>
      <c r="B1167" s="7">
        <v>45742</v>
      </c>
      <c r="C1167" s="6" t="s">
        <v>727</v>
      </c>
      <c r="D1167" s="6" t="s">
        <v>36</v>
      </c>
      <c r="E1167" s="6" t="s">
        <v>38</v>
      </c>
      <c r="F1167" s="6" t="str">
        <f>IF(E1167="","Unknown",E1167)</f>
        <v>Tablet</v>
      </c>
      <c r="G1167" s="6" t="s">
        <v>29</v>
      </c>
      <c r="H1167" s="6" t="str">
        <f>IF(G1167="","Unknown",G1167)</f>
        <v>Organic</v>
      </c>
      <c r="I1167" s="6" t="s">
        <v>25</v>
      </c>
      <c r="J1167" s="6">
        <v>1</v>
      </c>
      <c r="K1167" s="6">
        <v>0</v>
      </c>
      <c r="L1167" s="6">
        <v>0</v>
      </c>
      <c r="M1167" s="6">
        <v>0</v>
      </c>
      <c r="N1167" s="6">
        <v>0</v>
      </c>
      <c r="O1167" s="6">
        <v>1</v>
      </c>
      <c r="P1167" s="6">
        <f>IF(O1167&gt;0,1,0)</f>
        <v>1</v>
      </c>
      <c r="Q1167" s="6">
        <v>0</v>
      </c>
      <c r="S1167" s="6">
        <v>82.6</v>
      </c>
      <c r="T1167" s="6">
        <f>IF(S1167="",MEDIAN($S$2:$S$1409),S1167)</f>
        <v>82.6</v>
      </c>
    </row>
    <row r="1168" spans="1:20" ht="15" customHeight="1">
      <c r="A1168" s="6" t="s">
        <v>1203</v>
      </c>
      <c r="B1168" s="7">
        <v>45802</v>
      </c>
      <c r="C1168" s="6" t="s">
        <v>727</v>
      </c>
      <c r="D1168" s="6" t="s">
        <v>32</v>
      </c>
      <c r="E1168" s="6" t="s">
        <v>28</v>
      </c>
      <c r="F1168" s="6" t="str">
        <f>IF(E1168="","Unknown",E1168)</f>
        <v>Mobile</v>
      </c>
      <c r="G1168" s="6" t="s">
        <v>33</v>
      </c>
      <c r="H1168" s="6" t="str">
        <f>IF(G1168="","Unknown",G1168)</f>
        <v>Paid Search</v>
      </c>
      <c r="I1168" s="6" t="s">
        <v>30</v>
      </c>
      <c r="J1168" s="6">
        <v>0</v>
      </c>
      <c r="K1168" s="6">
        <v>0</v>
      </c>
      <c r="L1168" s="6">
        <v>0</v>
      </c>
      <c r="M1168" s="6">
        <v>0</v>
      </c>
      <c r="N1168" s="6">
        <v>0</v>
      </c>
      <c r="O1168" s="6">
        <v>1</v>
      </c>
      <c r="P1168" s="6">
        <f>IF(O1168&gt;0,1,0)</f>
        <v>1</v>
      </c>
      <c r="Q1168" s="6">
        <v>0</v>
      </c>
      <c r="S1168" s="6">
        <v>58.3</v>
      </c>
      <c r="T1168" s="6">
        <f>IF(S1168="",MEDIAN($S$2:$S$1409),S1168)</f>
        <v>58.3</v>
      </c>
    </row>
    <row r="1169" spans="1:20" ht="15" customHeight="1">
      <c r="A1169" s="6" t="s">
        <v>1204</v>
      </c>
      <c r="B1169" s="7">
        <v>45713</v>
      </c>
      <c r="C1169" s="6" t="s">
        <v>727</v>
      </c>
      <c r="D1169" s="6" t="s">
        <v>27</v>
      </c>
      <c r="E1169" s="6" t="s">
        <v>28</v>
      </c>
      <c r="F1169" s="6" t="str">
        <f>IF(E1169="","Unknown",E1169)</f>
        <v>Mobile</v>
      </c>
      <c r="G1169" s="6" t="s">
        <v>43</v>
      </c>
      <c r="H1169" s="6" t="str">
        <f>IF(G1169="","Unknown",G1169)</f>
        <v>Referral</v>
      </c>
      <c r="I1169" s="6" t="s">
        <v>34</v>
      </c>
      <c r="J1169" s="6">
        <v>1</v>
      </c>
      <c r="K1169" s="6">
        <v>1</v>
      </c>
      <c r="L1169" s="6">
        <v>1</v>
      </c>
      <c r="M1169" s="6">
        <v>1</v>
      </c>
      <c r="N1169" s="6">
        <v>1547.06</v>
      </c>
      <c r="O1169" s="6">
        <v>0</v>
      </c>
      <c r="P1169" s="6">
        <f>IF(O1169&gt;0,1,0)</f>
        <v>0</v>
      </c>
      <c r="Q1169" s="6">
        <v>1</v>
      </c>
      <c r="R1169" s="6">
        <v>2</v>
      </c>
      <c r="S1169" s="6">
        <v>72.900000000000006</v>
      </c>
      <c r="T1169" s="6">
        <f>IF(S1169="",MEDIAN($S$2:$S$1409),S1169)</f>
        <v>72.900000000000006</v>
      </c>
    </row>
    <row r="1170" spans="1:20" ht="15" customHeight="1">
      <c r="A1170" s="6" t="s">
        <v>1205</v>
      </c>
      <c r="B1170" s="7">
        <v>45739</v>
      </c>
      <c r="C1170" s="6" t="s">
        <v>727</v>
      </c>
      <c r="D1170" s="6" t="s">
        <v>36</v>
      </c>
      <c r="E1170" s="6" t="s">
        <v>28</v>
      </c>
      <c r="F1170" s="6" t="str">
        <f>IF(E1170="","Unknown",E1170)</f>
        <v>Mobile</v>
      </c>
      <c r="G1170" s="6" t="s">
        <v>45</v>
      </c>
      <c r="H1170" s="6" t="str">
        <f>IF(G1170="","Unknown",G1170)</f>
        <v>Social</v>
      </c>
      <c r="I1170" s="6" t="s">
        <v>30</v>
      </c>
      <c r="J1170" s="6">
        <v>1</v>
      </c>
      <c r="K1170" s="6">
        <v>1</v>
      </c>
      <c r="L1170" s="6">
        <v>1</v>
      </c>
      <c r="M1170" s="6">
        <v>0</v>
      </c>
      <c r="N1170" s="6">
        <v>0</v>
      </c>
      <c r="O1170" s="6">
        <v>2</v>
      </c>
      <c r="P1170" s="6">
        <f>IF(O1170&gt;0,1,0)</f>
        <v>1</v>
      </c>
      <c r="Q1170" s="6">
        <v>0</v>
      </c>
      <c r="S1170" s="6">
        <v>53.5</v>
      </c>
      <c r="T1170" s="6">
        <f>IF(S1170="",MEDIAN($S$2:$S$1409),S1170)</f>
        <v>53.5</v>
      </c>
    </row>
    <row r="1171" spans="1:20" ht="15" customHeight="1">
      <c r="A1171" s="6" t="s">
        <v>1206</v>
      </c>
      <c r="B1171" s="7">
        <v>45768</v>
      </c>
      <c r="C1171" s="6" t="s">
        <v>727</v>
      </c>
      <c r="D1171" s="6" t="s">
        <v>27</v>
      </c>
      <c r="E1171" s="6" t="s">
        <v>28</v>
      </c>
      <c r="F1171" s="6" t="str">
        <f>IF(E1171="","Unknown",E1171)</f>
        <v>Mobile</v>
      </c>
      <c r="G1171" s="6" t="s">
        <v>43</v>
      </c>
      <c r="H1171" s="6" t="str">
        <f>IF(G1171="","Unknown",G1171)</f>
        <v>Referral</v>
      </c>
      <c r="I1171" s="6" t="s">
        <v>30</v>
      </c>
      <c r="J1171" s="6">
        <v>1</v>
      </c>
      <c r="K1171" s="6">
        <v>0</v>
      </c>
      <c r="L1171" s="6">
        <v>0</v>
      </c>
      <c r="M1171" s="6">
        <v>0</v>
      </c>
      <c r="N1171" s="6">
        <v>0</v>
      </c>
      <c r="O1171" s="6">
        <v>0</v>
      </c>
      <c r="P1171" s="6">
        <f>IF(O1171&gt;0,1,0)</f>
        <v>0</v>
      </c>
      <c r="Q1171" s="6">
        <v>0</v>
      </c>
      <c r="S1171" s="6">
        <v>54.8</v>
      </c>
      <c r="T1171" s="6">
        <f>IF(S1171="",MEDIAN($S$2:$S$1409),S1171)</f>
        <v>54.8</v>
      </c>
    </row>
    <row r="1172" spans="1:20" ht="15" customHeight="1">
      <c r="A1172" s="6" t="s">
        <v>1207</v>
      </c>
      <c r="B1172" s="7">
        <v>45798</v>
      </c>
      <c r="C1172" s="6" t="s">
        <v>727</v>
      </c>
      <c r="D1172" s="6" t="s">
        <v>22</v>
      </c>
      <c r="E1172" s="6" t="s">
        <v>28</v>
      </c>
      <c r="F1172" s="6" t="str">
        <f>IF(E1172="","Unknown",E1172)</f>
        <v>Mobile</v>
      </c>
      <c r="G1172" s="6" t="s">
        <v>29</v>
      </c>
      <c r="H1172" s="6" t="str">
        <f>IF(G1172="","Unknown",G1172)</f>
        <v>Organic</v>
      </c>
      <c r="I1172" s="6" t="s">
        <v>34</v>
      </c>
      <c r="J1172" s="6">
        <v>1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f>IF(O1172&gt;0,1,0)</f>
        <v>0</v>
      </c>
      <c r="Q1172" s="6">
        <v>0</v>
      </c>
      <c r="S1172" s="6">
        <v>69.5</v>
      </c>
      <c r="T1172" s="6">
        <f>IF(S1172="",MEDIAN($S$2:$S$1409),S1172)</f>
        <v>69.5</v>
      </c>
    </row>
    <row r="1173" spans="1:20" ht="15" customHeight="1">
      <c r="A1173" s="6" t="s">
        <v>1208</v>
      </c>
      <c r="B1173" s="7">
        <v>45772</v>
      </c>
      <c r="C1173" s="6" t="s">
        <v>727</v>
      </c>
      <c r="D1173" s="6" t="s">
        <v>22</v>
      </c>
      <c r="E1173" s="6" t="s">
        <v>23</v>
      </c>
      <c r="F1173" s="6" t="str">
        <f>IF(E1173="","Unknown",E1173)</f>
        <v>Desktop</v>
      </c>
      <c r="G1173" s="6" t="s">
        <v>45</v>
      </c>
      <c r="H1173" s="6" t="str">
        <f>IF(G1173="","Unknown",G1173)</f>
        <v>Social</v>
      </c>
      <c r="I1173" s="6" t="s">
        <v>30</v>
      </c>
      <c r="J1173" s="6">
        <v>1</v>
      </c>
      <c r="K1173" s="6">
        <v>0</v>
      </c>
      <c r="L1173" s="6">
        <v>0</v>
      </c>
      <c r="M1173" s="6">
        <v>0</v>
      </c>
      <c r="N1173" s="6">
        <v>0</v>
      </c>
      <c r="O1173" s="6">
        <v>1</v>
      </c>
      <c r="P1173" s="6">
        <f>IF(O1173&gt;0,1,0)</f>
        <v>1</v>
      </c>
      <c r="Q1173" s="6">
        <v>0</v>
      </c>
      <c r="S1173" s="6">
        <v>71.3</v>
      </c>
      <c r="T1173" s="6">
        <f>IF(S1173="",MEDIAN($S$2:$S$1409),S1173)</f>
        <v>71.3</v>
      </c>
    </row>
    <row r="1174" spans="1:20" ht="15" customHeight="1">
      <c r="A1174" s="6" t="s">
        <v>1209</v>
      </c>
      <c r="B1174" s="7">
        <v>45800</v>
      </c>
      <c r="C1174" s="6" t="s">
        <v>727</v>
      </c>
      <c r="D1174" s="6" t="s">
        <v>27</v>
      </c>
      <c r="E1174" s="6" t="s">
        <v>28</v>
      </c>
      <c r="F1174" s="6" t="str">
        <f>IF(E1174="","Unknown",E1174)</f>
        <v>Mobile</v>
      </c>
      <c r="G1174" s="6" t="s">
        <v>43</v>
      </c>
      <c r="H1174" s="6" t="str">
        <f>IF(G1174="","Unknown",G1174)</f>
        <v>Referral</v>
      </c>
      <c r="I1174" s="6" t="s">
        <v>25</v>
      </c>
      <c r="J1174" s="6">
        <v>1</v>
      </c>
      <c r="K1174" s="6">
        <v>0</v>
      </c>
      <c r="L1174" s="6">
        <v>0</v>
      </c>
      <c r="M1174" s="6">
        <v>0</v>
      </c>
      <c r="N1174" s="6">
        <v>0</v>
      </c>
      <c r="O1174" s="6">
        <v>1</v>
      </c>
      <c r="P1174" s="6">
        <f>IF(O1174&gt;0,1,0)</f>
        <v>1</v>
      </c>
      <c r="Q1174" s="6">
        <v>0</v>
      </c>
      <c r="S1174" s="6">
        <v>57.5</v>
      </c>
      <c r="T1174" s="6">
        <f>IF(S1174="",MEDIAN($S$2:$S$1409),S1174)</f>
        <v>57.5</v>
      </c>
    </row>
    <row r="1175" spans="1:20" ht="15" customHeight="1">
      <c r="A1175" s="6" t="s">
        <v>1210</v>
      </c>
      <c r="B1175" s="7">
        <v>45734</v>
      </c>
      <c r="C1175" s="6" t="s">
        <v>727</v>
      </c>
      <c r="D1175" s="6" t="s">
        <v>36</v>
      </c>
      <c r="E1175" s="6" t="s">
        <v>28</v>
      </c>
      <c r="F1175" s="6" t="str">
        <f>IF(E1175="","Unknown",E1175)</f>
        <v>Mobile</v>
      </c>
      <c r="G1175" s="6" t="s">
        <v>24</v>
      </c>
      <c r="H1175" s="6" t="str">
        <f>IF(G1175="","Unknown",G1175)</f>
        <v>Email</v>
      </c>
      <c r="I1175" s="6" t="s">
        <v>30</v>
      </c>
      <c r="J1175" s="6">
        <v>1</v>
      </c>
      <c r="K1175" s="6">
        <v>0</v>
      </c>
      <c r="L1175" s="6">
        <v>0</v>
      </c>
      <c r="M1175" s="6">
        <v>0</v>
      </c>
      <c r="N1175" s="6">
        <v>0</v>
      </c>
      <c r="O1175" s="6">
        <v>4</v>
      </c>
      <c r="P1175" s="6">
        <f>IF(O1175&gt;0,1,0)</f>
        <v>1</v>
      </c>
      <c r="Q1175" s="6">
        <v>0</v>
      </c>
      <c r="S1175" s="6">
        <v>50.9</v>
      </c>
      <c r="T1175" s="6">
        <f>IF(S1175="",MEDIAN($S$2:$S$1409),S1175)</f>
        <v>50.9</v>
      </c>
    </row>
    <row r="1176" spans="1:20" ht="15" customHeight="1">
      <c r="A1176" s="6" t="s">
        <v>1211</v>
      </c>
      <c r="B1176" s="7">
        <v>45660</v>
      </c>
      <c r="C1176" s="6" t="s">
        <v>727</v>
      </c>
      <c r="D1176" s="6" t="s">
        <v>36</v>
      </c>
      <c r="E1176" s="6" t="s">
        <v>38</v>
      </c>
      <c r="F1176" s="6" t="str">
        <f>IF(E1176="","Unknown",E1176)</f>
        <v>Tablet</v>
      </c>
      <c r="G1176" s="6" t="s">
        <v>29</v>
      </c>
      <c r="H1176" s="6" t="str">
        <f>IF(G1176="","Unknown",G1176)</f>
        <v>Organic</v>
      </c>
      <c r="I1176" s="6" t="s">
        <v>30</v>
      </c>
      <c r="J1176" s="6">
        <v>1</v>
      </c>
      <c r="K1176" s="6">
        <v>1</v>
      </c>
      <c r="L1176" s="6">
        <v>1</v>
      </c>
      <c r="M1176" s="6">
        <v>0</v>
      </c>
      <c r="N1176" s="6">
        <v>0</v>
      </c>
      <c r="O1176" s="6">
        <v>0</v>
      </c>
      <c r="P1176" s="6">
        <f>IF(O1176&gt;0,1,0)</f>
        <v>0</v>
      </c>
      <c r="Q1176" s="6">
        <v>0</v>
      </c>
      <c r="S1176" s="6">
        <v>69.3</v>
      </c>
      <c r="T1176" s="6">
        <f>IF(S1176="",MEDIAN($S$2:$S$1409),S1176)</f>
        <v>69.3</v>
      </c>
    </row>
    <row r="1177" spans="1:20" ht="15" customHeight="1">
      <c r="A1177" s="6" t="s">
        <v>1212</v>
      </c>
      <c r="B1177" s="7">
        <v>45696</v>
      </c>
      <c r="C1177" s="6" t="s">
        <v>727</v>
      </c>
      <c r="D1177" s="6" t="s">
        <v>27</v>
      </c>
      <c r="E1177" s="6" t="s">
        <v>23</v>
      </c>
      <c r="F1177" s="6" t="str">
        <f>IF(E1177="","Unknown",E1177)</f>
        <v>Desktop</v>
      </c>
      <c r="G1177" s="6" t="s">
        <v>29</v>
      </c>
      <c r="H1177" s="6" t="str">
        <f>IF(G1177="","Unknown",G1177)</f>
        <v>Organic</v>
      </c>
      <c r="I1177" s="6" t="s">
        <v>30</v>
      </c>
      <c r="J1177" s="6">
        <v>1</v>
      </c>
      <c r="K1177" s="6">
        <v>0</v>
      </c>
      <c r="L1177" s="6">
        <v>0</v>
      </c>
      <c r="M1177" s="6">
        <v>0</v>
      </c>
      <c r="N1177" s="6">
        <v>0</v>
      </c>
      <c r="O1177" s="6">
        <v>0</v>
      </c>
      <c r="P1177" s="6">
        <f>IF(O1177&gt;0,1,0)</f>
        <v>0</v>
      </c>
      <c r="Q1177" s="6">
        <v>0</v>
      </c>
      <c r="S1177" s="6">
        <v>50.1</v>
      </c>
      <c r="T1177" s="6">
        <f>IF(S1177="",MEDIAN($S$2:$S$1409),S1177)</f>
        <v>50.1</v>
      </c>
    </row>
    <row r="1178" spans="1:20" ht="15" customHeight="1">
      <c r="A1178" s="6" t="s">
        <v>1213</v>
      </c>
      <c r="B1178" s="7">
        <v>45692</v>
      </c>
      <c r="C1178" s="6" t="s">
        <v>727</v>
      </c>
      <c r="D1178" s="6" t="s">
        <v>32</v>
      </c>
      <c r="E1178" s="6"/>
      <c r="F1178" s="6" t="str">
        <f>IF(E1178="","Unknown",E1178)</f>
        <v>Unknown</v>
      </c>
      <c r="G1178" s="6" t="s">
        <v>33</v>
      </c>
      <c r="H1178" s="6" t="str">
        <f>IF(G1178="","Unknown",G1178)</f>
        <v>Paid Search</v>
      </c>
      <c r="I1178" s="6" t="s">
        <v>25</v>
      </c>
      <c r="J1178" s="6">
        <v>0</v>
      </c>
      <c r="K1178" s="6"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f>IF(O1178&gt;0,1,0)</f>
        <v>0</v>
      </c>
      <c r="Q1178" s="6">
        <v>0</v>
      </c>
      <c r="S1178" s="6">
        <v>69.7</v>
      </c>
      <c r="T1178" s="6">
        <f>IF(S1178="",MEDIAN($S$2:$S$1409),S1178)</f>
        <v>69.7</v>
      </c>
    </row>
    <row r="1179" spans="1:20" ht="15" customHeight="1">
      <c r="A1179" s="6" t="s">
        <v>1214</v>
      </c>
      <c r="B1179" s="7">
        <v>45673</v>
      </c>
      <c r="C1179" s="6" t="s">
        <v>727</v>
      </c>
      <c r="D1179" s="6" t="s">
        <v>22</v>
      </c>
      <c r="E1179" s="6" t="s">
        <v>28</v>
      </c>
      <c r="F1179" s="6" t="str">
        <f>IF(E1179="","Unknown",E1179)</f>
        <v>Mobile</v>
      </c>
      <c r="G1179" s="6" t="s">
        <v>33</v>
      </c>
      <c r="H1179" s="6" t="str">
        <f>IF(G1179="","Unknown",G1179)</f>
        <v>Paid Search</v>
      </c>
      <c r="I1179" s="6" t="s">
        <v>30</v>
      </c>
      <c r="J1179" s="6">
        <v>0</v>
      </c>
      <c r="K1179" s="6">
        <v>0</v>
      </c>
      <c r="L1179" s="6">
        <v>0</v>
      </c>
      <c r="M1179" s="6">
        <v>0</v>
      </c>
      <c r="N1179" s="6">
        <v>0</v>
      </c>
      <c r="O1179" s="6">
        <v>0</v>
      </c>
      <c r="P1179" s="6">
        <f>IF(O1179&gt;0,1,0)</f>
        <v>0</v>
      </c>
      <c r="Q1179" s="6">
        <v>0</v>
      </c>
      <c r="S1179" s="6">
        <v>63.5</v>
      </c>
      <c r="T1179" s="6">
        <f>IF(S1179="",MEDIAN($S$2:$S$1409),S1179)</f>
        <v>63.5</v>
      </c>
    </row>
    <row r="1180" spans="1:20" ht="15" customHeight="1">
      <c r="A1180" s="6" t="s">
        <v>1215</v>
      </c>
      <c r="B1180" s="7">
        <v>45751</v>
      </c>
      <c r="C1180" s="6" t="s">
        <v>727</v>
      </c>
      <c r="D1180" s="6" t="s">
        <v>27</v>
      </c>
      <c r="E1180" s="6" t="s">
        <v>23</v>
      </c>
      <c r="F1180" s="6" t="str">
        <f>IF(E1180="","Unknown",E1180)</f>
        <v>Desktop</v>
      </c>
      <c r="G1180" s="6" t="s">
        <v>33</v>
      </c>
      <c r="H1180" s="6" t="str">
        <f>IF(G1180="","Unknown",G1180)</f>
        <v>Paid Search</v>
      </c>
      <c r="I1180" s="6" t="s">
        <v>30</v>
      </c>
      <c r="J1180" s="6">
        <v>1</v>
      </c>
      <c r="K1180" s="6">
        <v>1</v>
      </c>
      <c r="L1180" s="6">
        <v>1</v>
      </c>
      <c r="M1180" s="6">
        <v>1</v>
      </c>
      <c r="N1180" s="6">
        <v>265.58999999999997</v>
      </c>
      <c r="O1180" s="6">
        <v>1</v>
      </c>
      <c r="P1180" s="6">
        <f>IF(O1180&gt;0,1,0)</f>
        <v>1</v>
      </c>
      <c r="Q1180" s="6">
        <v>0</v>
      </c>
      <c r="R1180" s="6">
        <v>8</v>
      </c>
      <c r="S1180" s="6">
        <v>80.400000000000006</v>
      </c>
      <c r="T1180" s="6">
        <f>IF(S1180="",MEDIAN($S$2:$S$1409),S1180)</f>
        <v>80.400000000000006</v>
      </c>
    </row>
    <row r="1181" spans="1:20" ht="15" customHeight="1">
      <c r="A1181" s="6" t="s">
        <v>1216</v>
      </c>
      <c r="B1181" s="7">
        <v>45680</v>
      </c>
      <c r="C1181" s="6" t="s">
        <v>727</v>
      </c>
      <c r="D1181" s="6" t="s">
        <v>22</v>
      </c>
      <c r="E1181" s="6" t="s">
        <v>23</v>
      </c>
      <c r="F1181" s="6" t="str">
        <f>IF(E1181="","Unknown",E1181)</f>
        <v>Desktop</v>
      </c>
      <c r="G1181" s="6" t="s">
        <v>33</v>
      </c>
      <c r="H1181" s="6" t="str">
        <f>IF(G1181="","Unknown",G1181)</f>
        <v>Paid Search</v>
      </c>
      <c r="I1181" s="6" t="s">
        <v>30</v>
      </c>
      <c r="J1181" s="6">
        <v>0</v>
      </c>
      <c r="K1181" s="6"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f>IF(O1181&gt;0,1,0)</f>
        <v>0</v>
      </c>
      <c r="Q1181" s="6">
        <v>0</v>
      </c>
      <c r="S1181" s="6">
        <v>58.9</v>
      </c>
      <c r="T1181" s="6">
        <f>IF(S1181="",MEDIAN($S$2:$S$1409),S1181)</f>
        <v>58.9</v>
      </c>
    </row>
    <row r="1182" spans="1:20" ht="15" customHeight="1">
      <c r="A1182" s="6" t="s">
        <v>1217</v>
      </c>
      <c r="B1182" s="7">
        <v>45738</v>
      </c>
      <c r="C1182" s="6" t="s">
        <v>727</v>
      </c>
      <c r="D1182" s="6" t="s">
        <v>36</v>
      </c>
      <c r="E1182" s="6" t="s">
        <v>23</v>
      </c>
      <c r="F1182" s="6" t="str">
        <f>IF(E1182="","Unknown",E1182)</f>
        <v>Desktop</v>
      </c>
      <c r="G1182" s="6" t="s">
        <v>33</v>
      </c>
      <c r="H1182" s="6" t="str">
        <f>IF(G1182="","Unknown",G1182)</f>
        <v>Paid Search</v>
      </c>
      <c r="I1182" s="6" t="s">
        <v>30</v>
      </c>
      <c r="J1182" s="6">
        <v>1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f>IF(O1182&gt;0,1,0)</f>
        <v>0</v>
      </c>
      <c r="Q1182" s="6">
        <v>0</v>
      </c>
      <c r="S1182" s="6">
        <v>56.8</v>
      </c>
      <c r="T1182" s="6">
        <f>IF(S1182="",MEDIAN($S$2:$S$1409),S1182)</f>
        <v>56.8</v>
      </c>
    </row>
    <row r="1183" spans="1:20" ht="15" customHeight="1">
      <c r="A1183" s="6" t="s">
        <v>1218</v>
      </c>
      <c r="B1183" s="7">
        <v>45690</v>
      </c>
      <c r="C1183" s="6" t="s">
        <v>727</v>
      </c>
      <c r="D1183" s="6" t="s">
        <v>32</v>
      </c>
      <c r="E1183" s="6" t="s">
        <v>38</v>
      </c>
      <c r="F1183" s="6" t="str">
        <f>IF(E1183="","Unknown",E1183)</f>
        <v>Tablet</v>
      </c>
      <c r="G1183" s="6" t="s">
        <v>45</v>
      </c>
      <c r="H1183" s="6" t="str">
        <f>IF(G1183="","Unknown",G1183)</f>
        <v>Social</v>
      </c>
      <c r="I1183" s="6" t="s">
        <v>34</v>
      </c>
      <c r="J1183" s="6">
        <v>0</v>
      </c>
      <c r="K1183" s="6">
        <v>0</v>
      </c>
      <c r="L1183" s="6">
        <v>0</v>
      </c>
      <c r="M1183" s="6">
        <v>0</v>
      </c>
      <c r="N1183" s="6">
        <v>0</v>
      </c>
      <c r="O1183" s="6">
        <v>0</v>
      </c>
      <c r="P1183" s="6">
        <f>IF(O1183&gt;0,1,0)</f>
        <v>0</v>
      </c>
      <c r="Q1183" s="6">
        <v>0</v>
      </c>
      <c r="S1183" s="6">
        <v>73.900000000000006</v>
      </c>
      <c r="T1183" s="6">
        <f>IF(S1183="",MEDIAN($S$2:$S$1409),S1183)</f>
        <v>73.900000000000006</v>
      </c>
    </row>
    <row r="1184" spans="1:20" ht="15" customHeight="1">
      <c r="A1184" s="6" t="s">
        <v>1219</v>
      </c>
      <c r="B1184" s="7">
        <v>45688</v>
      </c>
      <c r="C1184" s="6" t="s">
        <v>727</v>
      </c>
      <c r="D1184" s="6" t="s">
        <v>22</v>
      </c>
      <c r="E1184" s="6" t="s">
        <v>23</v>
      </c>
      <c r="F1184" s="6" t="str">
        <f>IF(E1184="","Unknown",E1184)</f>
        <v>Desktop</v>
      </c>
      <c r="G1184" s="6" t="s">
        <v>33</v>
      </c>
      <c r="H1184" s="6" t="str">
        <f>IF(G1184="","Unknown",G1184)</f>
        <v>Paid Search</v>
      </c>
      <c r="I1184" s="6" t="s">
        <v>30</v>
      </c>
      <c r="J1184" s="6">
        <v>0</v>
      </c>
      <c r="K1184" s="6"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f>IF(O1184&gt;0,1,0)</f>
        <v>0</v>
      </c>
      <c r="Q1184" s="6">
        <v>0</v>
      </c>
      <c r="S1184" s="6">
        <v>76.3</v>
      </c>
      <c r="T1184" s="6">
        <f>IF(S1184="",MEDIAN($S$2:$S$1409),S1184)</f>
        <v>76.3</v>
      </c>
    </row>
    <row r="1185" spans="1:20" ht="15" customHeight="1">
      <c r="A1185" s="6" t="s">
        <v>1220</v>
      </c>
      <c r="B1185" s="7">
        <v>45804</v>
      </c>
      <c r="C1185" s="6" t="s">
        <v>727</v>
      </c>
      <c r="D1185" s="6" t="s">
        <v>27</v>
      </c>
      <c r="E1185" s="6" t="s">
        <v>28</v>
      </c>
      <c r="F1185" s="6" t="str">
        <f>IF(E1185="","Unknown",E1185)</f>
        <v>Mobile</v>
      </c>
      <c r="G1185" s="6" t="s">
        <v>29</v>
      </c>
      <c r="H1185" s="6" t="str">
        <f>IF(G1185="","Unknown",G1185)</f>
        <v>Organic</v>
      </c>
      <c r="I1185" s="6" t="s">
        <v>25</v>
      </c>
      <c r="J1185" s="6">
        <v>1</v>
      </c>
      <c r="K1185" s="6">
        <v>0</v>
      </c>
      <c r="L1185" s="6">
        <v>0</v>
      </c>
      <c r="M1185" s="6">
        <v>0</v>
      </c>
      <c r="N1185" s="6">
        <v>0</v>
      </c>
      <c r="O1185" s="6">
        <v>0</v>
      </c>
      <c r="P1185" s="6">
        <f>IF(O1185&gt;0,1,0)</f>
        <v>0</v>
      </c>
      <c r="Q1185" s="6">
        <v>0</v>
      </c>
      <c r="S1185" s="6">
        <v>56.9</v>
      </c>
      <c r="T1185" s="6">
        <f>IF(S1185="",MEDIAN($S$2:$S$1409),S1185)</f>
        <v>56.9</v>
      </c>
    </row>
    <row r="1186" spans="1:20" ht="15" customHeight="1">
      <c r="A1186" s="6" t="s">
        <v>1221</v>
      </c>
      <c r="B1186" s="7">
        <v>45784</v>
      </c>
      <c r="C1186" s="6" t="s">
        <v>727</v>
      </c>
      <c r="D1186" s="6" t="s">
        <v>22</v>
      </c>
      <c r="E1186" s="6" t="s">
        <v>28</v>
      </c>
      <c r="F1186" s="6" t="str">
        <f>IF(E1186="","Unknown",E1186)</f>
        <v>Mobile</v>
      </c>
      <c r="G1186" s="6" t="s">
        <v>29</v>
      </c>
      <c r="H1186" s="6" t="str">
        <f>IF(G1186="","Unknown",G1186)</f>
        <v>Organic</v>
      </c>
      <c r="I1186" s="6" t="s">
        <v>34</v>
      </c>
      <c r="J1186" s="6">
        <v>1</v>
      </c>
      <c r="K1186" s="6">
        <v>0</v>
      </c>
      <c r="L1186" s="6">
        <v>0</v>
      </c>
      <c r="M1186" s="6">
        <v>0</v>
      </c>
      <c r="N1186" s="6">
        <v>0</v>
      </c>
      <c r="O1186" s="6">
        <v>2</v>
      </c>
      <c r="P1186" s="6">
        <f>IF(O1186&gt;0,1,0)</f>
        <v>1</v>
      </c>
      <c r="Q1186" s="6">
        <v>0</v>
      </c>
      <c r="S1186" s="6">
        <v>49.4</v>
      </c>
      <c r="T1186" s="6">
        <f>IF(S1186="",MEDIAN($S$2:$S$1409),S1186)</f>
        <v>49.4</v>
      </c>
    </row>
    <row r="1187" spans="1:20" ht="15" customHeight="1">
      <c r="A1187" s="6" t="s">
        <v>1222</v>
      </c>
      <c r="B1187" s="7">
        <v>45785</v>
      </c>
      <c r="C1187" s="6" t="s">
        <v>727</v>
      </c>
      <c r="D1187" s="6" t="s">
        <v>22</v>
      </c>
      <c r="E1187" s="6" t="s">
        <v>23</v>
      </c>
      <c r="F1187" s="6" t="str">
        <f>IF(E1187="","Unknown",E1187)</f>
        <v>Desktop</v>
      </c>
      <c r="G1187" s="6" t="s">
        <v>33</v>
      </c>
      <c r="H1187" s="6" t="str">
        <f>IF(G1187="","Unknown",G1187)</f>
        <v>Paid Search</v>
      </c>
      <c r="I1187" s="6" t="s">
        <v>25</v>
      </c>
      <c r="J1187" s="6">
        <v>1</v>
      </c>
      <c r="K1187" s="6">
        <v>0</v>
      </c>
      <c r="L1187" s="6">
        <v>0</v>
      </c>
      <c r="M1187" s="6">
        <v>0</v>
      </c>
      <c r="N1187" s="6">
        <v>0</v>
      </c>
      <c r="O1187" s="6">
        <v>0</v>
      </c>
      <c r="P1187" s="6">
        <f>IF(O1187&gt;0,1,0)</f>
        <v>0</v>
      </c>
      <c r="Q1187" s="6">
        <v>0</v>
      </c>
      <c r="S1187" s="6">
        <v>86.7</v>
      </c>
      <c r="T1187" s="6">
        <f>IF(S1187="",MEDIAN($S$2:$S$1409),S1187)</f>
        <v>86.7</v>
      </c>
    </row>
    <row r="1188" spans="1:20" ht="15" customHeight="1">
      <c r="A1188" s="6" t="s">
        <v>1223</v>
      </c>
      <c r="B1188" s="7">
        <v>45672</v>
      </c>
      <c r="C1188" s="6" t="s">
        <v>727</v>
      </c>
      <c r="D1188" s="6" t="s">
        <v>27</v>
      </c>
      <c r="E1188" s="6" t="s">
        <v>23</v>
      </c>
      <c r="F1188" s="6" t="str">
        <f>IF(E1188="","Unknown",E1188)</f>
        <v>Desktop</v>
      </c>
      <c r="G1188" s="6" t="s">
        <v>24</v>
      </c>
      <c r="H1188" s="6" t="str">
        <f>IF(G1188="","Unknown",G1188)</f>
        <v>Email</v>
      </c>
      <c r="I1188" s="6" t="s">
        <v>30</v>
      </c>
      <c r="J1188" s="6">
        <v>1</v>
      </c>
      <c r="K1188" s="6">
        <v>0</v>
      </c>
      <c r="L1188" s="6">
        <v>0</v>
      </c>
      <c r="M1188" s="6">
        <v>0</v>
      </c>
      <c r="N1188" s="6">
        <v>0</v>
      </c>
      <c r="O1188" s="6">
        <v>3</v>
      </c>
      <c r="P1188" s="6">
        <f>IF(O1188&gt;0,1,0)</f>
        <v>1</v>
      </c>
      <c r="Q1188" s="6">
        <v>0</v>
      </c>
      <c r="S1188" s="6">
        <v>69</v>
      </c>
      <c r="T1188" s="6">
        <f>IF(S1188="",MEDIAN($S$2:$S$1409),S1188)</f>
        <v>69</v>
      </c>
    </row>
    <row r="1189" spans="1:20" ht="15" customHeight="1">
      <c r="A1189" s="6" t="s">
        <v>1224</v>
      </c>
      <c r="B1189" s="7">
        <v>45675</v>
      </c>
      <c r="C1189" s="6" t="s">
        <v>727</v>
      </c>
      <c r="D1189" s="6" t="s">
        <v>22</v>
      </c>
      <c r="E1189" s="6" t="s">
        <v>28</v>
      </c>
      <c r="F1189" s="6" t="str">
        <f>IF(E1189="","Unknown",E1189)</f>
        <v>Mobile</v>
      </c>
      <c r="G1189" s="6" t="s">
        <v>33</v>
      </c>
      <c r="H1189" s="6" t="str">
        <f>IF(G1189="","Unknown",G1189)</f>
        <v>Paid Search</v>
      </c>
      <c r="I1189" s="6" t="s">
        <v>30</v>
      </c>
      <c r="J1189" s="6">
        <v>0</v>
      </c>
      <c r="K1189" s="6">
        <v>0</v>
      </c>
      <c r="L1189" s="6">
        <v>0</v>
      </c>
      <c r="M1189" s="6">
        <v>0</v>
      </c>
      <c r="N1189" s="6">
        <v>0</v>
      </c>
      <c r="O1189" s="6">
        <v>0</v>
      </c>
      <c r="P1189" s="6">
        <f>IF(O1189&gt;0,1,0)</f>
        <v>0</v>
      </c>
      <c r="Q1189" s="6">
        <v>0</v>
      </c>
      <c r="S1189" s="6">
        <v>84.5</v>
      </c>
      <c r="T1189" s="6">
        <f>IF(S1189="",MEDIAN($S$2:$S$1409),S1189)</f>
        <v>84.5</v>
      </c>
    </row>
    <row r="1190" spans="1:20" ht="15" customHeight="1">
      <c r="A1190" s="6" t="s">
        <v>1225</v>
      </c>
      <c r="B1190" s="7">
        <v>45763</v>
      </c>
      <c r="C1190" s="6" t="s">
        <v>727</v>
      </c>
      <c r="D1190" s="6" t="s">
        <v>32</v>
      </c>
      <c r="E1190" s="6"/>
      <c r="F1190" s="6" t="str">
        <f>IF(E1190="","Unknown",E1190)</f>
        <v>Unknown</v>
      </c>
      <c r="G1190" s="6" t="s">
        <v>43</v>
      </c>
      <c r="H1190" s="6" t="str">
        <f>IF(G1190="","Unknown",G1190)</f>
        <v>Referral</v>
      </c>
      <c r="I1190" s="6" t="s">
        <v>30</v>
      </c>
      <c r="J1190" s="6">
        <v>1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f>IF(O1190&gt;0,1,0)</f>
        <v>0</v>
      </c>
      <c r="Q1190" s="6">
        <v>0</v>
      </c>
      <c r="S1190" s="6">
        <v>66.3</v>
      </c>
      <c r="T1190" s="6">
        <f>IF(S1190="",MEDIAN($S$2:$S$1409),S1190)</f>
        <v>66.3</v>
      </c>
    </row>
    <row r="1191" spans="1:20" ht="15" customHeight="1">
      <c r="A1191" s="6" t="s">
        <v>1226</v>
      </c>
      <c r="B1191" s="7">
        <v>45704</v>
      </c>
      <c r="C1191" s="6" t="s">
        <v>727</v>
      </c>
      <c r="D1191" s="6" t="s">
        <v>32</v>
      </c>
      <c r="E1191" s="6" t="s">
        <v>23</v>
      </c>
      <c r="F1191" s="6" t="str">
        <f>IF(E1191="","Unknown",E1191)</f>
        <v>Desktop</v>
      </c>
      <c r="G1191" s="6" t="s">
        <v>33</v>
      </c>
      <c r="H1191" s="6" t="str">
        <f>IF(G1191="","Unknown",G1191)</f>
        <v>Paid Search</v>
      </c>
      <c r="I1191" s="6" t="s">
        <v>30</v>
      </c>
      <c r="J1191" s="6">
        <v>0</v>
      </c>
      <c r="K1191" s="6">
        <v>0</v>
      </c>
      <c r="L1191" s="6">
        <v>0</v>
      </c>
      <c r="M1191" s="6">
        <v>0</v>
      </c>
      <c r="N1191" s="6">
        <v>0</v>
      </c>
      <c r="O1191" s="6">
        <v>0</v>
      </c>
      <c r="P1191" s="6">
        <f>IF(O1191&gt;0,1,0)</f>
        <v>0</v>
      </c>
      <c r="Q1191" s="6">
        <v>0</v>
      </c>
      <c r="S1191" s="6">
        <v>52.2</v>
      </c>
      <c r="T1191" s="6">
        <f>IF(S1191="",MEDIAN($S$2:$S$1409),S1191)</f>
        <v>52.2</v>
      </c>
    </row>
    <row r="1192" spans="1:20" ht="15" customHeight="1">
      <c r="A1192" s="6" t="s">
        <v>1227</v>
      </c>
      <c r="B1192" s="7">
        <v>45764</v>
      </c>
      <c r="C1192" s="6" t="s">
        <v>727</v>
      </c>
      <c r="D1192" s="6" t="s">
        <v>36</v>
      </c>
      <c r="E1192" s="6" t="s">
        <v>23</v>
      </c>
      <c r="F1192" s="6" t="str">
        <f>IF(E1192="","Unknown",E1192)</f>
        <v>Desktop</v>
      </c>
      <c r="G1192" s="6" t="s">
        <v>43</v>
      </c>
      <c r="H1192" s="6" t="str">
        <f>IF(G1192="","Unknown",G1192)</f>
        <v>Referral</v>
      </c>
      <c r="I1192" s="6" t="s">
        <v>34</v>
      </c>
      <c r="J1192" s="6">
        <v>1</v>
      </c>
      <c r="K1192" s="6">
        <v>1</v>
      </c>
      <c r="L1192" s="6">
        <v>1</v>
      </c>
      <c r="M1192" s="6">
        <v>0</v>
      </c>
      <c r="N1192" s="6">
        <v>0</v>
      </c>
      <c r="O1192" s="6">
        <v>0</v>
      </c>
      <c r="P1192" s="6">
        <f>IF(O1192&gt;0,1,0)</f>
        <v>0</v>
      </c>
      <c r="Q1192" s="6">
        <v>0</v>
      </c>
      <c r="S1192" s="6">
        <v>81.2</v>
      </c>
      <c r="T1192" s="6">
        <f>IF(S1192="",MEDIAN($S$2:$S$1409),S1192)</f>
        <v>81.2</v>
      </c>
    </row>
    <row r="1193" spans="1:20" ht="15" customHeight="1">
      <c r="A1193" s="6" t="s">
        <v>1228</v>
      </c>
      <c r="B1193" s="7">
        <v>45777</v>
      </c>
      <c r="C1193" s="6" t="s">
        <v>727</v>
      </c>
      <c r="D1193" s="6" t="s">
        <v>36</v>
      </c>
      <c r="E1193" s="6" t="s">
        <v>28</v>
      </c>
      <c r="F1193" s="6" t="str">
        <f>IF(E1193="","Unknown",E1193)</f>
        <v>Mobile</v>
      </c>
      <c r="G1193" s="6" t="s">
        <v>29</v>
      </c>
      <c r="H1193" s="6" t="str">
        <f>IF(G1193="","Unknown",G1193)</f>
        <v>Organic</v>
      </c>
      <c r="I1193" s="6" t="s">
        <v>25</v>
      </c>
      <c r="J1193" s="6">
        <v>0</v>
      </c>
      <c r="K1193" s="6">
        <v>0</v>
      </c>
      <c r="L1193" s="6">
        <v>0</v>
      </c>
      <c r="M1193" s="6">
        <v>0</v>
      </c>
      <c r="N1193" s="6">
        <v>0</v>
      </c>
      <c r="O1193" s="6">
        <v>0</v>
      </c>
      <c r="P1193" s="6">
        <f>IF(O1193&gt;0,1,0)</f>
        <v>0</v>
      </c>
      <c r="Q1193" s="6">
        <v>0</v>
      </c>
      <c r="S1193" s="6">
        <v>53.9</v>
      </c>
      <c r="T1193" s="6">
        <f>IF(S1193="",MEDIAN($S$2:$S$1409),S1193)</f>
        <v>53.9</v>
      </c>
    </row>
    <row r="1194" spans="1:20" ht="15" customHeight="1">
      <c r="A1194" s="6" t="s">
        <v>1229</v>
      </c>
      <c r="B1194" s="7">
        <v>45686</v>
      </c>
      <c r="C1194" s="6" t="s">
        <v>727</v>
      </c>
      <c r="D1194" s="6" t="s">
        <v>27</v>
      </c>
      <c r="E1194" s="6" t="s">
        <v>28</v>
      </c>
      <c r="F1194" s="6" t="str">
        <f>IF(E1194="","Unknown",E1194)</f>
        <v>Mobile</v>
      </c>
      <c r="G1194" s="6" t="s">
        <v>45</v>
      </c>
      <c r="H1194" s="6" t="str">
        <f>IF(G1194="","Unknown",G1194)</f>
        <v>Social</v>
      </c>
      <c r="I1194" s="6" t="s">
        <v>34</v>
      </c>
      <c r="J1194" s="6">
        <v>0</v>
      </c>
      <c r="K1194" s="6">
        <v>0</v>
      </c>
      <c r="L1194" s="6">
        <v>0</v>
      </c>
      <c r="M1194" s="6">
        <v>0</v>
      </c>
      <c r="N1194" s="6">
        <v>0</v>
      </c>
      <c r="O1194" s="6">
        <v>0</v>
      </c>
      <c r="P1194" s="6">
        <f>IF(O1194&gt;0,1,0)</f>
        <v>0</v>
      </c>
      <c r="Q1194" s="6">
        <v>0</v>
      </c>
      <c r="S1194" s="6">
        <v>39.1</v>
      </c>
      <c r="T1194" s="6">
        <f>IF(S1194="",MEDIAN($S$2:$S$1409),S1194)</f>
        <v>39.1</v>
      </c>
    </row>
    <row r="1195" spans="1:20" ht="15" customHeight="1">
      <c r="A1195" s="6" t="s">
        <v>1230</v>
      </c>
      <c r="B1195" s="7">
        <v>45668</v>
      </c>
      <c r="C1195" s="6" t="s">
        <v>727</v>
      </c>
      <c r="D1195" s="6" t="s">
        <v>22</v>
      </c>
      <c r="E1195" s="6" t="s">
        <v>28</v>
      </c>
      <c r="F1195" s="6" t="str">
        <f>IF(E1195="","Unknown",E1195)</f>
        <v>Mobile</v>
      </c>
      <c r="G1195" s="6" t="s">
        <v>45</v>
      </c>
      <c r="H1195" s="6" t="str">
        <f>IF(G1195="","Unknown",G1195)</f>
        <v>Social</v>
      </c>
      <c r="I1195" s="6" t="s">
        <v>25</v>
      </c>
      <c r="J1195" s="6">
        <v>0</v>
      </c>
      <c r="K1195" s="6">
        <v>0</v>
      </c>
      <c r="L1195" s="6">
        <v>0</v>
      </c>
      <c r="M1195" s="6">
        <v>0</v>
      </c>
      <c r="N1195" s="6">
        <v>0</v>
      </c>
      <c r="O1195" s="6">
        <v>0</v>
      </c>
      <c r="P1195" s="6">
        <f>IF(O1195&gt;0,1,0)</f>
        <v>0</v>
      </c>
      <c r="Q1195" s="6">
        <v>0</v>
      </c>
      <c r="S1195" s="6">
        <v>57.3</v>
      </c>
      <c r="T1195" s="6">
        <f>IF(S1195="",MEDIAN($S$2:$S$1409),S1195)</f>
        <v>57.3</v>
      </c>
    </row>
    <row r="1196" spans="1:20" ht="15" customHeight="1">
      <c r="A1196" s="6" t="s">
        <v>1231</v>
      </c>
      <c r="B1196" s="7">
        <v>45755</v>
      </c>
      <c r="C1196" s="6" t="s">
        <v>727</v>
      </c>
      <c r="D1196" s="6" t="s">
        <v>32</v>
      </c>
      <c r="E1196" s="6" t="s">
        <v>23</v>
      </c>
      <c r="F1196" s="6" t="str">
        <f>IF(E1196="","Unknown",E1196)</f>
        <v>Desktop</v>
      </c>
      <c r="G1196" s="6" t="s">
        <v>33</v>
      </c>
      <c r="H1196" s="6" t="str">
        <f>IF(G1196="","Unknown",G1196)</f>
        <v>Paid Search</v>
      </c>
      <c r="I1196" s="6" t="s">
        <v>34</v>
      </c>
      <c r="J1196" s="6">
        <v>1</v>
      </c>
      <c r="K1196" s="6">
        <v>0</v>
      </c>
      <c r="L1196" s="6">
        <v>0</v>
      </c>
      <c r="M1196" s="6">
        <v>0</v>
      </c>
      <c r="N1196" s="6">
        <v>0</v>
      </c>
      <c r="O1196" s="6">
        <v>1</v>
      </c>
      <c r="P1196" s="6">
        <f>IF(O1196&gt;0,1,0)</f>
        <v>1</v>
      </c>
      <c r="Q1196" s="6">
        <v>0</v>
      </c>
      <c r="S1196" s="6">
        <v>65.900000000000006</v>
      </c>
      <c r="T1196" s="6">
        <f>IF(S1196="",MEDIAN($S$2:$S$1409),S1196)</f>
        <v>65.900000000000006</v>
      </c>
    </row>
    <row r="1197" spans="1:20" ht="15" customHeight="1">
      <c r="A1197" s="6" t="s">
        <v>1232</v>
      </c>
      <c r="B1197" s="7">
        <v>45710</v>
      </c>
      <c r="C1197" s="6" t="s">
        <v>727</v>
      </c>
      <c r="D1197" s="6" t="s">
        <v>22</v>
      </c>
      <c r="E1197" s="6"/>
      <c r="F1197" s="6" t="str">
        <f>IF(E1197="","Unknown",E1197)</f>
        <v>Unknown</v>
      </c>
      <c r="G1197" s="6" t="s">
        <v>45</v>
      </c>
      <c r="H1197" s="6" t="str">
        <f>IF(G1197="","Unknown",G1197)</f>
        <v>Social</v>
      </c>
      <c r="I1197" s="6" t="s">
        <v>30</v>
      </c>
      <c r="J1197" s="6">
        <v>1</v>
      </c>
      <c r="K1197" s="6">
        <v>0</v>
      </c>
      <c r="L1197" s="6">
        <v>0</v>
      </c>
      <c r="M1197" s="6">
        <v>0</v>
      </c>
      <c r="N1197" s="6">
        <v>0</v>
      </c>
      <c r="O1197" s="6">
        <v>1</v>
      </c>
      <c r="P1197" s="6">
        <f>IF(O1197&gt;0,1,0)</f>
        <v>1</v>
      </c>
      <c r="Q1197" s="6">
        <v>0</v>
      </c>
      <c r="S1197" s="6">
        <v>34.200000000000003</v>
      </c>
      <c r="T1197" s="6">
        <f>IF(S1197="",MEDIAN($S$2:$S$1409),S1197)</f>
        <v>34.200000000000003</v>
      </c>
    </row>
    <row r="1198" spans="1:20" ht="15" customHeight="1">
      <c r="A1198" s="6" t="s">
        <v>1233</v>
      </c>
      <c r="B1198" s="7">
        <v>45739</v>
      </c>
      <c r="C1198" s="6" t="s">
        <v>727</v>
      </c>
      <c r="D1198" s="6" t="s">
        <v>36</v>
      </c>
      <c r="E1198" s="6" t="s">
        <v>28</v>
      </c>
      <c r="F1198" s="6" t="str">
        <f>IF(E1198="","Unknown",E1198)</f>
        <v>Mobile</v>
      </c>
      <c r="G1198" s="6" t="s">
        <v>29</v>
      </c>
      <c r="H1198" s="6" t="str">
        <f>IF(G1198="","Unknown",G1198)</f>
        <v>Organic</v>
      </c>
      <c r="I1198" s="6" t="s">
        <v>30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f>IF(O1198&gt;0,1,0)</f>
        <v>0</v>
      </c>
      <c r="Q1198" s="6">
        <v>0</v>
      </c>
      <c r="S1198" s="6">
        <v>47.2</v>
      </c>
      <c r="T1198" s="6">
        <f>IF(S1198="",MEDIAN($S$2:$S$1409),S1198)</f>
        <v>47.2</v>
      </c>
    </row>
    <row r="1199" spans="1:20" ht="15" customHeight="1">
      <c r="A1199" s="6" t="s">
        <v>1234</v>
      </c>
      <c r="B1199" s="7">
        <v>45800</v>
      </c>
      <c r="C1199" s="6" t="s">
        <v>727</v>
      </c>
      <c r="D1199" s="6" t="s">
        <v>36</v>
      </c>
      <c r="E1199" s="6" t="s">
        <v>38</v>
      </c>
      <c r="F1199" s="6" t="str">
        <f>IF(E1199="","Unknown",E1199)</f>
        <v>Tablet</v>
      </c>
      <c r="G1199" s="6" t="s">
        <v>33</v>
      </c>
      <c r="H1199" s="6" t="str">
        <f>IF(G1199="","Unknown",G1199)</f>
        <v>Paid Search</v>
      </c>
      <c r="I1199" s="6" t="s">
        <v>30</v>
      </c>
      <c r="J1199" s="6">
        <v>1</v>
      </c>
      <c r="K1199" s="6">
        <v>0</v>
      </c>
      <c r="L1199" s="6">
        <v>0</v>
      </c>
      <c r="M1199" s="6">
        <v>0</v>
      </c>
      <c r="N1199" s="6">
        <v>0</v>
      </c>
      <c r="O1199" s="6">
        <v>1</v>
      </c>
      <c r="P1199" s="6">
        <f>IF(O1199&gt;0,1,0)</f>
        <v>1</v>
      </c>
      <c r="Q1199" s="6">
        <v>0</v>
      </c>
      <c r="S1199" s="6">
        <v>55</v>
      </c>
      <c r="T1199" s="6">
        <f>IF(S1199="",MEDIAN($S$2:$S$1409),S1199)</f>
        <v>55</v>
      </c>
    </row>
    <row r="1200" spans="1:20" ht="15" customHeight="1">
      <c r="A1200" s="6" t="s">
        <v>1235</v>
      </c>
      <c r="B1200" s="7">
        <v>45774</v>
      </c>
      <c r="C1200" s="6" t="s">
        <v>727</v>
      </c>
      <c r="D1200" s="6" t="s">
        <v>27</v>
      </c>
      <c r="E1200" s="6" t="s">
        <v>28</v>
      </c>
      <c r="F1200" s="6" t="str">
        <f>IF(E1200="","Unknown",E1200)</f>
        <v>Mobile</v>
      </c>
      <c r="G1200" s="6" t="s">
        <v>43</v>
      </c>
      <c r="H1200" s="6" t="str">
        <f>IF(G1200="","Unknown",G1200)</f>
        <v>Referral</v>
      </c>
      <c r="I1200" s="6" t="s">
        <v>25</v>
      </c>
      <c r="J1200" s="6">
        <v>1</v>
      </c>
      <c r="K1200" s="6">
        <v>1</v>
      </c>
      <c r="L1200" s="6">
        <v>1</v>
      </c>
      <c r="M1200" s="6">
        <v>0</v>
      </c>
      <c r="N1200" s="6">
        <v>0</v>
      </c>
      <c r="O1200" s="6">
        <v>0</v>
      </c>
      <c r="P1200" s="6">
        <f>IF(O1200&gt;0,1,0)</f>
        <v>0</v>
      </c>
      <c r="Q1200" s="6">
        <v>0</v>
      </c>
      <c r="S1200" s="6">
        <v>76.400000000000006</v>
      </c>
      <c r="T1200" s="6">
        <f>IF(S1200="",MEDIAN($S$2:$S$1409),S1200)</f>
        <v>76.400000000000006</v>
      </c>
    </row>
    <row r="1201" spans="1:20" ht="15" customHeight="1">
      <c r="A1201" s="6" t="s">
        <v>1236</v>
      </c>
      <c r="B1201" s="7">
        <v>45803</v>
      </c>
      <c r="C1201" s="6" t="s">
        <v>727</v>
      </c>
      <c r="D1201" s="6" t="s">
        <v>22</v>
      </c>
      <c r="E1201" s="6" t="s">
        <v>28</v>
      </c>
      <c r="F1201" s="6" t="str">
        <f>IF(E1201="","Unknown",E1201)</f>
        <v>Mobile</v>
      </c>
      <c r="G1201" s="6" t="s">
        <v>43</v>
      </c>
      <c r="H1201" s="6" t="str">
        <f>IF(G1201="","Unknown",G1201)</f>
        <v>Referral</v>
      </c>
      <c r="I1201" s="6" t="s">
        <v>30</v>
      </c>
      <c r="J1201" s="6">
        <v>1</v>
      </c>
      <c r="K1201" s="6"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f>IF(O1201&gt;0,1,0)</f>
        <v>0</v>
      </c>
      <c r="Q1201" s="6">
        <v>0</v>
      </c>
      <c r="S1201" s="6">
        <v>70.8</v>
      </c>
      <c r="T1201" s="6">
        <f>IF(S1201="",MEDIAN($S$2:$S$1409),S1201)</f>
        <v>70.8</v>
      </c>
    </row>
    <row r="1202" spans="1:20" ht="15" customHeight="1">
      <c r="A1202" s="6" t="s">
        <v>1237</v>
      </c>
      <c r="B1202" s="7">
        <v>45722</v>
      </c>
      <c r="C1202" s="6" t="s">
        <v>727</v>
      </c>
      <c r="D1202" s="6" t="s">
        <v>32</v>
      </c>
      <c r="E1202" s="6" t="s">
        <v>28</v>
      </c>
      <c r="F1202" s="6" t="str">
        <f>IF(E1202="","Unknown",E1202)</f>
        <v>Mobile</v>
      </c>
      <c r="G1202" s="6" t="s">
        <v>33</v>
      </c>
      <c r="H1202" s="6" t="str">
        <f>IF(G1202="","Unknown",G1202)</f>
        <v>Paid Search</v>
      </c>
      <c r="I1202" s="6" t="s">
        <v>25</v>
      </c>
      <c r="J1202" s="6">
        <v>1</v>
      </c>
      <c r="K1202" s="6">
        <v>1</v>
      </c>
      <c r="L1202" s="6">
        <v>0</v>
      </c>
      <c r="M1202" s="6">
        <v>0</v>
      </c>
      <c r="N1202" s="6">
        <v>0</v>
      </c>
      <c r="O1202" s="6">
        <v>1</v>
      </c>
      <c r="P1202" s="6">
        <f>IF(O1202&gt;0,1,0)</f>
        <v>1</v>
      </c>
      <c r="Q1202" s="6">
        <v>0</v>
      </c>
      <c r="S1202" s="6">
        <v>58</v>
      </c>
      <c r="T1202" s="6">
        <f>IF(S1202="",MEDIAN($S$2:$S$1409),S1202)</f>
        <v>58</v>
      </c>
    </row>
    <row r="1203" spans="1:20" ht="15" customHeight="1">
      <c r="A1203" s="6" t="s">
        <v>1238</v>
      </c>
      <c r="B1203" s="7">
        <v>45750</v>
      </c>
      <c r="C1203" s="6" t="s">
        <v>727</v>
      </c>
      <c r="D1203" s="6" t="s">
        <v>27</v>
      </c>
      <c r="E1203" s="6" t="s">
        <v>28</v>
      </c>
      <c r="F1203" s="6" t="str">
        <f>IF(E1203="","Unknown",E1203)</f>
        <v>Mobile</v>
      </c>
      <c r="G1203" s="6" t="s">
        <v>29</v>
      </c>
      <c r="H1203" s="6" t="str">
        <f>IF(G1203="","Unknown",G1203)</f>
        <v>Organic</v>
      </c>
      <c r="I1203" s="6" t="s">
        <v>25</v>
      </c>
      <c r="J1203" s="6">
        <v>1</v>
      </c>
      <c r="K1203" s="6">
        <v>1</v>
      </c>
      <c r="L1203" s="6">
        <v>1</v>
      </c>
      <c r="M1203" s="6">
        <v>0</v>
      </c>
      <c r="N1203" s="6">
        <v>0</v>
      </c>
      <c r="O1203" s="6">
        <v>1</v>
      </c>
      <c r="P1203" s="6">
        <f>IF(O1203&gt;0,1,0)</f>
        <v>1</v>
      </c>
      <c r="Q1203" s="6">
        <v>0</v>
      </c>
      <c r="S1203" s="6">
        <v>70.8</v>
      </c>
      <c r="T1203" s="6">
        <f>IF(S1203="",MEDIAN($S$2:$S$1409),S1203)</f>
        <v>70.8</v>
      </c>
    </row>
    <row r="1204" spans="1:20" ht="15" customHeight="1">
      <c r="A1204" s="6" t="s">
        <v>1239</v>
      </c>
      <c r="B1204" s="7">
        <v>45689</v>
      </c>
      <c r="C1204" s="6" t="s">
        <v>727</v>
      </c>
      <c r="D1204" s="6" t="s">
        <v>32</v>
      </c>
      <c r="E1204" s="6" t="s">
        <v>23</v>
      </c>
      <c r="F1204" s="6" t="str">
        <f>IF(E1204="","Unknown",E1204)</f>
        <v>Desktop</v>
      </c>
      <c r="G1204" s="6" t="s">
        <v>33</v>
      </c>
      <c r="H1204" s="6" t="str">
        <f>IF(G1204="","Unknown",G1204)</f>
        <v>Paid Search</v>
      </c>
      <c r="I1204" s="6" t="s">
        <v>30</v>
      </c>
      <c r="J1204" s="6">
        <v>1</v>
      </c>
      <c r="K1204" s="6">
        <v>0</v>
      </c>
      <c r="L1204" s="6">
        <v>0</v>
      </c>
      <c r="M1204" s="6">
        <v>0</v>
      </c>
      <c r="N1204" s="6">
        <v>0</v>
      </c>
      <c r="O1204" s="6">
        <v>3</v>
      </c>
      <c r="P1204" s="6">
        <f>IF(O1204&gt;0,1,0)</f>
        <v>1</v>
      </c>
      <c r="Q1204" s="6">
        <v>0</v>
      </c>
      <c r="S1204" s="6">
        <v>60</v>
      </c>
      <c r="T1204" s="6">
        <f>IF(S1204="",MEDIAN($S$2:$S$1409),S1204)</f>
        <v>60</v>
      </c>
    </row>
    <row r="1205" spans="1:20" ht="15" customHeight="1">
      <c r="A1205" s="6" t="s">
        <v>1240</v>
      </c>
      <c r="B1205" s="7">
        <v>45778</v>
      </c>
      <c r="C1205" s="6" t="s">
        <v>727</v>
      </c>
      <c r="D1205" s="6" t="s">
        <v>27</v>
      </c>
      <c r="E1205" s="6" t="s">
        <v>28</v>
      </c>
      <c r="F1205" s="6" t="str">
        <f>IF(E1205="","Unknown",E1205)</f>
        <v>Mobile</v>
      </c>
      <c r="G1205" s="6" t="s">
        <v>43</v>
      </c>
      <c r="H1205" s="6" t="str">
        <f>IF(G1205="","Unknown",G1205)</f>
        <v>Referral</v>
      </c>
      <c r="I1205" s="6" t="s">
        <v>34</v>
      </c>
      <c r="J1205" s="6">
        <v>1</v>
      </c>
      <c r="K1205" s="6">
        <v>1</v>
      </c>
      <c r="L1205" s="6">
        <v>1</v>
      </c>
      <c r="M1205" s="6">
        <v>0</v>
      </c>
      <c r="N1205" s="6">
        <v>0</v>
      </c>
      <c r="O1205" s="6">
        <v>3</v>
      </c>
      <c r="P1205" s="6">
        <f>IF(O1205&gt;0,1,0)</f>
        <v>1</v>
      </c>
      <c r="Q1205" s="6">
        <v>0</v>
      </c>
      <c r="S1205" s="6">
        <v>58.1</v>
      </c>
      <c r="T1205" s="6">
        <f>IF(S1205="",MEDIAN($S$2:$S$1409),S1205)</f>
        <v>58.1</v>
      </c>
    </row>
    <row r="1206" spans="1:20" ht="15" customHeight="1">
      <c r="A1206" s="6" t="s">
        <v>1241</v>
      </c>
      <c r="B1206" s="7">
        <v>45760</v>
      </c>
      <c r="C1206" s="6" t="s">
        <v>727</v>
      </c>
      <c r="D1206" s="6" t="s">
        <v>22</v>
      </c>
      <c r="E1206" s="6" t="s">
        <v>28</v>
      </c>
      <c r="F1206" s="6" t="str">
        <f>IF(E1206="","Unknown",E1206)</f>
        <v>Mobile</v>
      </c>
      <c r="G1206" s="6" t="s">
        <v>45</v>
      </c>
      <c r="H1206" s="6" t="str">
        <f>IF(G1206="","Unknown",G1206)</f>
        <v>Social</v>
      </c>
      <c r="I1206" s="6" t="s">
        <v>34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f>IF(O1206&gt;0,1,0)</f>
        <v>0</v>
      </c>
      <c r="Q1206" s="6">
        <v>0</v>
      </c>
      <c r="S1206" s="6">
        <v>59.7</v>
      </c>
      <c r="T1206" s="6">
        <f>IF(S1206="",MEDIAN($S$2:$S$1409),S1206)</f>
        <v>59.7</v>
      </c>
    </row>
    <row r="1207" spans="1:20" ht="15" customHeight="1">
      <c r="A1207" s="6" t="s">
        <v>1242</v>
      </c>
      <c r="B1207" s="7">
        <v>45682</v>
      </c>
      <c r="C1207" s="6" t="s">
        <v>727</v>
      </c>
      <c r="D1207" s="6" t="s">
        <v>32</v>
      </c>
      <c r="E1207" s="6" t="s">
        <v>28</v>
      </c>
      <c r="F1207" s="6" t="str">
        <f>IF(E1207="","Unknown",E1207)</f>
        <v>Mobile</v>
      </c>
      <c r="G1207" s="6" t="s">
        <v>45</v>
      </c>
      <c r="H1207" s="6" t="str">
        <f>IF(G1207="","Unknown",G1207)</f>
        <v>Social</v>
      </c>
      <c r="I1207" s="6" t="s">
        <v>30</v>
      </c>
      <c r="J1207" s="6">
        <v>0</v>
      </c>
      <c r="K1207" s="6">
        <v>0</v>
      </c>
      <c r="L1207" s="6">
        <v>0</v>
      </c>
      <c r="M1207" s="6">
        <v>0</v>
      </c>
      <c r="N1207" s="6">
        <v>0</v>
      </c>
      <c r="O1207" s="6">
        <v>0</v>
      </c>
      <c r="P1207" s="6">
        <f>IF(O1207&gt;0,1,0)</f>
        <v>0</v>
      </c>
      <c r="Q1207" s="6">
        <v>0</v>
      </c>
      <c r="S1207" s="6">
        <v>47.7</v>
      </c>
      <c r="T1207" s="6">
        <f>IF(S1207="",MEDIAN($S$2:$S$1409),S1207)</f>
        <v>47.7</v>
      </c>
    </row>
    <row r="1208" spans="1:20" ht="15" customHeight="1">
      <c r="A1208" s="6" t="s">
        <v>1243</v>
      </c>
      <c r="B1208" s="7">
        <v>45733</v>
      </c>
      <c r="C1208" s="6" t="s">
        <v>727</v>
      </c>
      <c r="D1208" s="6" t="s">
        <v>22</v>
      </c>
      <c r="E1208" s="6" t="s">
        <v>28</v>
      </c>
      <c r="F1208" s="6" t="str">
        <f>IF(E1208="","Unknown",E1208)</f>
        <v>Mobile</v>
      </c>
      <c r="G1208" s="6" t="s">
        <v>29</v>
      </c>
      <c r="H1208" s="6" t="str">
        <f>IF(G1208="","Unknown",G1208)</f>
        <v>Organic</v>
      </c>
      <c r="I1208" s="6" t="s">
        <v>30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f>IF(O1208&gt;0,1,0)</f>
        <v>0</v>
      </c>
      <c r="Q1208" s="6">
        <v>0</v>
      </c>
      <c r="S1208" s="6">
        <v>59.1</v>
      </c>
      <c r="T1208" s="6">
        <f>IF(S1208="",MEDIAN($S$2:$S$1409),S1208)</f>
        <v>59.1</v>
      </c>
    </row>
    <row r="1209" spans="1:20" ht="15" customHeight="1">
      <c r="A1209" s="6" t="s">
        <v>1244</v>
      </c>
      <c r="B1209" s="7">
        <v>45709</v>
      </c>
      <c r="C1209" s="6" t="s">
        <v>727</v>
      </c>
      <c r="D1209" s="6" t="s">
        <v>27</v>
      </c>
      <c r="E1209" s="6" t="s">
        <v>23</v>
      </c>
      <c r="F1209" s="6" t="str">
        <f>IF(E1209="","Unknown",E1209)</f>
        <v>Desktop</v>
      </c>
      <c r="G1209" s="6" t="s">
        <v>45</v>
      </c>
      <c r="H1209" s="6" t="str">
        <f>IF(G1209="","Unknown",G1209)</f>
        <v>Social</v>
      </c>
      <c r="I1209" s="6" t="s">
        <v>25</v>
      </c>
      <c r="J1209" s="6">
        <v>1</v>
      </c>
      <c r="K1209" s="6">
        <v>0</v>
      </c>
      <c r="L1209" s="6">
        <v>0</v>
      </c>
      <c r="M1209" s="6">
        <v>0</v>
      </c>
      <c r="N1209" s="6">
        <v>0</v>
      </c>
      <c r="O1209" s="6">
        <v>1</v>
      </c>
      <c r="P1209" s="6">
        <f>IF(O1209&gt;0,1,0)</f>
        <v>1</v>
      </c>
      <c r="Q1209" s="6">
        <v>0</v>
      </c>
      <c r="S1209" s="6">
        <v>68.7</v>
      </c>
      <c r="T1209" s="6">
        <f>IF(S1209="",MEDIAN($S$2:$S$1409),S1209)</f>
        <v>68.7</v>
      </c>
    </row>
    <row r="1210" spans="1:20" ht="15" customHeight="1">
      <c r="A1210" s="6" t="s">
        <v>1245</v>
      </c>
      <c r="B1210" s="7">
        <v>45755</v>
      </c>
      <c r="C1210" s="6" t="s">
        <v>727</v>
      </c>
      <c r="D1210" s="6" t="s">
        <v>32</v>
      </c>
      <c r="E1210" s="6" t="s">
        <v>38</v>
      </c>
      <c r="F1210" s="6" t="str">
        <f>IF(E1210="","Unknown",E1210)</f>
        <v>Tablet</v>
      </c>
      <c r="G1210" s="6" t="s">
        <v>29</v>
      </c>
      <c r="H1210" s="6" t="str">
        <f>IF(G1210="","Unknown",G1210)</f>
        <v>Organic</v>
      </c>
      <c r="I1210" s="6" t="s">
        <v>25</v>
      </c>
      <c r="J1210" s="6">
        <v>0</v>
      </c>
      <c r="K1210" s="6">
        <v>0</v>
      </c>
      <c r="L1210" s="6">
        <v>0</v>
      </c>
      <c r="M1210" s="6">
        <v>0</v>
      </c>
      <c r="N1210" s="6">
        <v>0</v>
      </c>
      <c r="O1210" s="6">
        <v>0</v>
      </c>
      <c r="P1210" s="6">
        <f>IF(O1210&gt;0,1,0)</f>
        <v>0</v>
      </c>
      <c r="Q1210" s="6">
        <v>0</v>
      </c>
      <c r="S1210" s="6">
        <v>34.700000000000003</v>
      </c>
      <c r="T1210" s="6">
        <f>IF(S1210="",MEDIAN($S$2:$S$1409),S1210)</f>
        <v>34.700000000000003</v>
      </c>
    </row>
    <row r="1211" spans="1:20" ht="15" customHeight="1">
      <c r="A1211" s="6" t="s">
        <v>1246</v>
      </c>
      <c r="B1211" s="7">
        <v>45712</v>
      </c>
      <c r="C1211" s="6" t="s">
        <v>727</v>
      </c>
      <c r="D1211" s="6" t="s">
        <v>27</v>
      </c>
      <c r="E1211" s="6" t="s">
        <v>28</v>
      </c>
      <c r="F1211" s="6" t="str">
        <f>IF(E1211="","Unknown",E1211)</f>
        <v>Mobile</v>
      </c>
      <c r="G1211" s="6" t="s">
        <v>29</v>
      </c>
      <c r="H1211" s="6" t="str">
        <f>IF(G1211="","Unknown",G1211)</f>
        <v>Organic</v>
      </c>
      <c r="I1211" s="6" t="s">
        <v>25</v>
      </c>
      <c r="J1211" s="6">
        <v>1</v>
      </c>
      <c r="K1211" s="6">
        <v>0</v>
      </c>
      <c r="L1211" s="6">
        <v>0</v>
      </c>
      <c r="M1211" s="6">
        <v>0</v>
      </c>
      <c r="N1211" s="6">
        <v>0</v>
      </c>
      <c r="O1211" s="6">
        <v>0</v>
      </c>
      <c r="P1211" s="6">
        <f>IF(O1211&gt;0,1,0)</f>
        <v>0</v>
      </c>
      <c r="Q1211" s="6">
        <v>0</v>
      </c>
      <c r="S1211" s="6">
        <v>62</v>
      </c>
      <c r="T1211" s="6">
        <f>IF(S1211="",MEDIAN($S$2:$S$1409),S1211)</f>
        <v>62</v>
      </c>
    </row>
    <row r="1212" spans="1:20" ht="15" customHeight="1">
      <c r="A1212" s="6" t="s">
        <v>1247</v>
      </c>
      <c r="B1212" s="7">
        <v>45806</v>
      </c>
      <c r="C1212" s="6" t="s">
        <v>727</v>
      </c>
      <c r="D1212" s="6" t="s">
        <v>36</v>
      </c>
      <c r="E1212" s="6" t="s">
        <v>28</v>
      </c>
      <c r="F1212" s="6" t="str">
        <f>IF(E1212="","Unknown",E1212)</f>
        <v>Mobile</v>
      </c>
      <c r="G1212" s="6" t="s">
        <v>29</v>
      </c>
      <c r="H1212" s="6" t="str">
        <f>IF(G1212="","Unknown",G1212)</f>
        <v>Organic</v>
      </c>
      <c r="I1212" s="6" t="s">
        <v>30</v>
      </c>
      <c r="J1212" s="6">
        <v>1</v>
      </c>
      <c r="K1212" s="6">
        <v>1</v>
      </c>
      <c r="L1212" s="6">
        <v>0</v>
      </c>
      <c r="M1212" s="6">
        <v>0</v>
      </c>
      <c r="N1212" s="6">
        <v>0</v>
      </c>
      <c r="O1212" s="6">
        <v>0</v>
      </c>
      <c r="P1212" s="6">
        <f>IF(O1212&gt;0,1,0)</f>
        <v>0</v>
      </c>
      <c r="Q1212" s="6">
        <v>0</v>
      </c>
      <c r="S1212" s="6">
        <v>56</v>
      </c>
      <c r="T1212" s="6">
        <f>IF(S1212="",MEDIAN($S$2:$S$1409),S1212)</f>
        <v>56</v>
      </c>
    </row>
    <row r="1213" spans="1:20" ht="15" customHeight="1">
      <c r="A1213" s="6" t="s">
        <v>1248</v>
      </c>
      <c r="B1213" s="7">
        <v>45807</v>
      </c>
      <c r="C1213" s="6" t="s">
        <v>727</v>
      </c>
      <c r="D1213" s="6" t="s">
        <v>22</v>
      </c>
      <c r="E1213" s="6" t="s">
        <v>28</v>
      </c>
      <c r="F1213" s="6" t="str">
        <f>IF(E1213="","Unknown",E1213)</f>
        <v>Mobile</v>
      </c>
      <c r="G1213" s="6" t="s">
        <v>24</v>
      </c>
      <c r="H1213" s="6" t="str">
        <f>IF(G1213="","Unknown",G1213)</f>
        <v>Email</v>
      </c>
      <c r="I1213" s="6" t="s">
        <v>25</v>
      </c>
      <c r="J1213" s="6">
        <v>1</v>
      </c>
      <c r="K1213" s="6">
        <v>0</v>
      </c>
      <c r="L1213" s="6">
        <v>0</v>
      </c>
      <c r="M1213" s="6">
        <v>0</v>
      </c>
      <c r="N1213" s="6">
        <v>0</v>
      </c>
      <c r="O1213" s="6">
        <v>1</v>
      </c>
      <c r="P1213" s="6">
        <f>IF(O1213&gt;0,1,0)</f>
        <v>1</v>
      </c>
      <c r="Q1213" s="6">
        <v>0</v>
      </c>
      <c r="S1213" s="6">
        <v>65.8</v>
      </c>
      <c r="T1213" s="6">
        <f>IF(S1213="",MEDIAN($S$2:$S$1409),S1213)</f>
        <v>65.8</v>
      </c>
    </row>
    <row r="1214" spans="1:20" ht="15" customHeight="1">
      <c r="A1214" s="6" t="s">
        <v>1249</v>
      </c>
      <c r="B1214" s="7">
        <v>45681</v>
      </c>
      <c r="C1214" s="6" t="s">
        <v>727</v>
      </c>
      <c r="D1214" s="6" t="s">
        <v>22</v>
      </c>
      <c r="E1214" s="6" t="s">
        <v>23</v>
      </c>
      <c r="F1214" s="6" t="str">
        <f>IF(E1214="","Unknown",E1214)</f>
        <v>Desktop</v>
      </c>
      <c r="G1214" s="6" t="s">
        <v>29</v>
      </c>
      <c r="H1214" s="6" t="str">
        <f>IF(G1214="","Unknown",G1214)</f>
        <v>Organic</v>
      </c>
      <c r="I1214" s="6" t="s">
        <v>34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f>IF(O1214&gt;0,1,0)</f>
        <v>0</v>
      </c>
      <c r="Q1214" s="6">
        <v>0</v>
      </c>
      <c r="S1214" s="6">
        <v>54.7</v>
      </c>
      <c r="T1214" s="6">
        <f>IF(S1214="",MEDIAN($S$2:$S$1409),S1214)</f>
        <v>54.7</v>
      </c>
    </row>
    <row r="1215" spans="1:20" ht="15" customHeight="1">
      <c r="A1215" s="6" t="s">
        <v>1250</v>
      </c>
      <c r="B1215" s="7">
        <v>45789</v>
      </c>
      <c r="C1215" s="6" t="s">
        <v>727</v>
      </c>
      <c r="D1215" s="6" t="s">
        <v>36</v>
      </c>
      <c r="E1215" s="6" t="s">
        <v>28</v>
      </c>
      <c r="F1215" s="6" t="str">
        <f>IF(E1215="","Unknown",E1215)</f>
        <v>Mobile</v>
      </c>
      <c r="G1215" s="6" t="s">
        <v>29</v>
      </c>
      <c r="H1215" s="6" t="str">
        <f>IF(G1215="","Unknown",G1215)</f>
        <v>Organic</v>
      </c>
      <c r="I1215" s="6" t="s">
        <v>25</v>
      </c>
      <c r="J1215" s="6">
        <v>1</v>
      </c>
      <c r="K1215" s="6">
        <v>1</v>
      </c>
      <c r="L1215" s="6">
        <v>0</v>
      </c>
      <c r="M1215" s="6">
        <v>0</v>
      </c>
      <c r="N1215" s="6">
        <v>0</v>
      </c>
      <c r="O1215" s="6">
        <v>0</v>
      </c>
      <c r="P1215" s="6">
        <f>IF(O1215&gt;0,1,0)</f>
        <v>0</v>
      </c>
      <c r="Q1215" s="6">
        <v>0</v>
      </c>
      <c r="S1215" s="6">
        <v>64.099999999999994</v>
      </c>
      <c r="T1215" s="6">
        <f>IF(S1215="",MEDIAN($S$2:$S$1409),S1215)</f>
        <v>64.099999999999994</v>
      </c>
    </row>
    <row r="1216" spans="1:20" ht="15" customHeight="1">
      <c r="A1216" s="6" t="s">
        <v>1251</v>
      </c>
      <c r="B1216" s="7">
        <v>45744</v>
      </c>
      <c r="C1216" s="6" t="s">
        <v>727</v>
      </c>
      <c r="D1216" s="6" t="s">
        <v>36</v>
      </c>
      <c r="E1216" s="6" t="s">
        <v>28</v>
      </c>
      <c r="F1216" s="6" t="str">
        <f>IF(E1216="","Unknown",E1216)</f>
        <v>Mobile</v>
      </c>
      <c r="G1216" s="6" t="s">
        <v>29</v>
      </c>
      <c r="H1216" s="6" t="str">
        <f>IF(G1216="","Unknown",G1216)</f>
        <v>Organic</v>
      </c>
      <c r="I1216" s="6" t="s">
        <v>25</v>
      </c>
      <c r="J1216" s="6">
        <v>1</v>
      </c>
      <c r="K1216" s="6">
        <v>1</v>
      </c>
      <c r="L1216" s="6">
        <v>1</v>
      </c>
      <c r="M1216" s="6">
        <v>0</v>
      </c>
      <c r="N1216" s="6">
        <v>0</v>
      </c>
      <c r="O1216" s="6">
        <v>0</v>
      </c>
      <c r="P1216" s="6">
        <f>IF(O1216&gt;0,1,0)</f>
        <v>0</v>
      </c>
      <c r="Q1216" s="6">
        <v>0</v>
      </c>
      <c r="S1216" s="6">
        <v>71.599999999999994</v>
      </c>
      <c r="T1216" s="6">
        <f>IF(S1216="",MEDIAN($S$2:$S$1409),S1216)</f>
        <v>71.599999999999994</v>
      </c>
    </row>
    <row r="1217" spans="1:20" ht="15" customHeight="1">
      <c r="A1217" s="6" t="s">
        <v>1252</v>
      </c>
      <c r="B1217" s="7">
        <v>45761</v>
      </c>
      <c r="C1217" s="6" t="s">
        <v>727</v>
      </c>
      <c r="D1217" s="6" t="s">
        <v>22</v>
      </c>
      <c r="E1217" s="6" t="s">
        <v>28</v>
      </c>
      <c r="F1217" s="6" t="str">
        <f>IF(E1217="","Unknown",E1217)</f>
        <v>Mobile</v>
      </c>
      <c r="G1217" s="6" t="s">
        <v>43</v>
      </c>
      <c r="H1217" s="6" t="str">
        <f>IF(G1217="","Unknown",G1217)</f>
        <v>Referral</v>
      </c>
      <c r="I1217" s="6" t="s">
        <v>25</v>
      </c>
      <c r="J1217" s="6">
        <v>1</v>
      </c>
      <c r="K1217" s="6">
        <v>0</v>
      </c>
      <c r="L1217" s="6">
        <v>0</v>
      </c>
      <c r="M1217" s="6">
        <v>0</v>
      </c>
      <c r="N1217" s="6">
        <v>0</v>
      </c>
      <c r="O1217" s="6">
        <v>0</v>
      </c>
      <c r="P1217" s="6">
        <f>IF(O1217&gt;0,1,0)</f>
        <v>0</v>
      </c>
      <c r="Q1217" s="6">
        <v>0</v>
      </c>
      <c r="S1217" s="6">
        <v>78.400000000000006</v>
      </c>
      <c r="T1217" s="6">
        <f>IF(S1217="",MEDIAN($S$2:$S$1409),S1217)</f>
        <v>78.400000000000006</v>
      </c>
    </row>
    <row r="1218" spans="1:20" ht="15" customHeight="1">
      <c r="A1218" s="6" t="s">
        <v>1253</v>
      </c>
      <c r="B1218" s="7">
        <v>45685</v>
      </c>
      <c r="C1218" s="6" t="s">
        <v>727</v>
      </c>
      <c r="D1218" s="6" t="s">
        <v>32</v>
      </c>
      <c r="E1218" s="6" t="s">
        <v>38</v>
      </c>
      <c r="F1218" s="6" t="str">
        <f>IF(E1218="","Unknown",E1218)</f>
        <v>Tablet</v>
      </c>
      <c r="G1218" s="6" t="s">
        <v>43</v>
      </c>
      <c r="H1218" s="6" t="str">
        <f>IF(G1218="","Unknown",G1218)</f>
        <v>Referral</v>
      </c>
      <c r="I1218" s="6" t="s">
        <v>25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f>IF(O1218&gt;0,1,0)</f>
        <v>0</v>
      </c>
      <c r="Q1218" s="6">
        <v>0</v>
      </c>
      <c r="S1218" s="6">
        <v>49.3</v>
      </c>
      <c r="T1218" s="6">
        <f>IF(S1218="",MEDIAN($S$2:$S$1409),S1218)</f>
        <v>49.3</v>
      </c>
    </row>
    <row r="1219" spans="1:20" ht="15" customHeight="1">
      <c r="A1219" s="6" t="s">
        <v>1254</v>
      </c>
      <c r="B1219" s="7">
        <v>45798</v>
      </c>
      <c r="C1219" s="6" t="s">
        <v>727</v>
      </c>
      <c r="D1219" s="6" t="s">
        <v>22</v>
      </c>
      <c r="E1219" s="6" t="s">
        <v>28</v>
      </c>
      <c r="F1219" s="6" t="str">
        <f>IF(E1219="","Unknown",E1219)</f>
        <v>Mobile</v>
      </c>
      <c r="G1219" s="6" t="s">
        <v>29</v>
      </c>
      <c r="H1219" s="6" t="str">
        <f>IF(G1219="","Unknown",G1219)</f>
        <v>Organic</v>
      </c>
      <c r="I1219" s="6" t="s">
        <v>25</v>
      </c>
      <c r="J1219" s="6">
        <v>0</v>
      </c>
      <c r="K1219" s="6">
        <v>0</v>
      </c>
      <c r="L1219" s="6">
        <v>0</v>
      </c>
      <c r="M1219" s="6">
        <v>0</v>
      </c>
      <c r="N1219" s="6">
        <v>0</v>
      </c>
      <c r="O1219" s="6">
        <v>0</v>
      </c>
      <c r="P1219" s="6">
        <f>IF(O1219&gt;0,1,0)</f>
        <v>0</v>
      </c>
      <c r="Q1219" s="6">
        <v>0</v>
      </c>
      <c r="S1219" s="6">
        <v>52.8</v>
      </c>
      <c r="T1219" s="6">
        <f>IF(S1219="",MEDIAN($S$2:$S$1409),S1219)</f>
        <v>52.8</v>
      </c>
    </row>
    <row r="1220" spans="1:20" ht="15" customHeight="1">
      <c r="A1220" s="6" t="s">
        <v>1255</v>
      </c>
      <c r="B1220" s="7">
        <v>45788</v>
      </c>
      <c r="C1220" s="6" t="s">
        <v>727</v>
      </c>
      <c r="D1220" s="6" t="s">
        <v>27</v>
      </c>
      <c r="E1220" s="6" t="s">
        <v>23</v>
      </c>
      <c r="F1220" s="6" t="str">
        <f>IF(E1220="","Unknown",E1220)</f>
        <v>Desktop</v>
      </c>
      <c r="G1220" s="6" t="s">
        <v>29</v>
      </c>
      <c r="H1220" s="6" t="str">
        <f>IF(G1220="","Unknown",G1220)</f>
        <v>Organic</v>
      </c>
      <c r="I1220" s="6" t="s">
        <v>30</v>
      </c>
      <c r="J1220" s="6">
        <v>0</v>
      </c>
      <c r="K1220" s="6">
        <v>0</v>
      </c>
      <c r="L1220" s="6">
        <v>0</v>
      </c>
      <c r="M1220" s="6">
        <v>0</v>
      </c>
      <c r="N1220" s="6">
        <v>0</v>
      </c>
      <c r="O1220" s="6">
        <v>0</v>
      </c>
      <c r="P1220" s="6">
        <f>IF(O1220&gt;0,1,0)</f>
        <v>0</v>
      </c>
      <c r="Q1220" s="6">
        <v>0</v>
      </c>
      <c r="S1220" s="6">
        <v>58.5</v>
      </c>
      <c r="T1220" s="6">
        <f>IF(S1220="",MEDIAN($S$2:$S$1409),S1220)</f>
        <v>58.5</v>
      </c>
    </row>
    <row r="1221" spans="1:20" ht="15" customHeight="1">
      <c r="A1221" s="6" t="s">
        <v>1256</v>
      </c>
      <c r="B1221" s="7">
        <v>45690</v>
      </c>
      <c r="C1221" s="6" t="s">
        <v>727</v>
      </c>
      <c r="D1221" s="6" t="s">
        <v>36</v>
      </c>
      <c r="E1221" s="6" t="s">
        <v>28</v>
      </c>
      <c r="F1221" s="6" t="str">
        <f>IF(E1221="","Unknown",E1221)</f>
        <v>Mobile</v>
      </c>
      <c r="G1221" s="6" t="s">
        <v>33</v>
      </c>
      <c r="H1221" s="6" t="str">
        <f>IF(G1221="","Unknown",G1221)</f>
        <v>Paid Search</v>
      </c>
      <c r="I1221" s="6" t="s">
        <v>30</v>
      </c>
      <c r="J1221" s="6">
        <v>1</v>
      </c>
      <c r="K1221" s="6">
        <v>0</v>
      </c>
      <c r="L1221" s="6">
        <v>0</v>
      </c>
      <c r="M1221" s="6">
        <v>0</v>
      </c>
      <c r="N1221" s="6">
        <v>0</v>
      </c>
      <c r="O1221" s="6">
        <v>0</v>
      </c>
      <c r="P1221" s="6">
        <f>IF(O1221&gt;0,1,0)</f>
        <v>0</v>
      </c>
      <c r="Q1221" s="6">
        <v>0</v>
      </c>
      <c r="S1221" s="6">
        <v>55.9</v>
      </c>
      <c r="T1221" s="6">
        <f>IF(S1221="",MEDIAN($S$2:$S$1409),S1221)</f>
        <v>55.9</v>
      </c>
    </row>
    <row r="1222" spans="1:20" ht="15" customHeight="1">
      <c r="A1222" s="6" t="s">
        <v>1257</v>
      </c>
      <c r="B1222" s="7">
        <v>45714</v>
      </c>
      <c r="C1222" s="6" t="s">
        <v>727</v>
      </c>
      <c r="D1222" s="6" t="s">
        <v>22</v>
      </c>
      <c r="E1222" s="6" t="s">
        <v>28</v>
      </c>
      <c r="F1222" s="6" t="str">
        <f>IF(E1222="","Unknown",E1222)</f>
        <v>Mobile</v>
      </c>
      <c r="G1222" s="6" t="s">
        <v>45</v>
      </c>
      <c r="H1222" s="6" t="str">
        <f>IF(G1222="","Unknown",G1222)</f>
        <v>Social</v>
      </c>
      <c r="I1222" s="6" t="s">
        <v>30</v>
      </c>
      <c r="J1222" s="6">
        <v>1</v>
      </c>
      <c r="K1222" s="6">
        <v>1</v>
      </c>
      <c r="L1222" s="6">
        <v>1</v>
      </c>
      <c r="M1222" s="6">
        <v>1</v>
      </c>
      <c r="N1222" s="6">
        <v>351.43</v>
      </c>
      <c r="O1222" s="6">
        <v>1</v>
      </c>
      <c r="P1222" s="6">
        <f>IF(O1222&gt;0,1,0)</f>
        <v>1</v>
      </c>
      <c r="Q1222" s="6">
        <v>0</v>
      </c>
      <c r="R1222" s="6">
        <v>6</v>
      </c>
      <c r="S1222" s="6">
        <v>74.900000000000006</v>
      </c>
      <c r="T1222" s="6">
        <f>IF(S1222="",MEDIAN($S$2:$S$1409),S1222)</f>
        <v>74.900000000000006</v>
      </c>
    </row>
    <row r="1223" spans="1:20" ht="15" customHeight="1">
      <c r="A1223" s="6" t="s">
        <v>1258</v>
      </c>
      <c r="B1223" s="7">
        <v>45715</v>
      </c>
      <c r="C1223" s="6" t="s">
        <v>727</v>
      </c>
      <c r="D1223" s="6" t="s">
        <v>36</v>
      </c>
      <c r="E1223" s="6" t="s">
        <v>23</v>
      </c>
      <c r="F1223" s="6" t="str">
        <f>IF(E1223="","Unknown",E1223)</f>
        <v>Desktop</v>
      </c>
      <c r="G1223" s="6" t="s">
        <v>43</v>
      </c>
      <c r="H1223" s="6" t="str">
        <f>IF(G1223="","Unknown",G1223)</f>
        <v>Referral</v>
      </c>
      <c r="I1223" s="6" t="s">
        <v>30</v>
      </c>
      <c r="J1223" s="6">
        <v>1</v>
      </c>
      <c r="K1223" s="6">
        <v>1</v>
      </c>
      <c r="L1223" s="6">
        <v>1</v>
      </c>
      <c r="M1223" s="6">
        <v>1</v>
      </c>
      <c r="N1223" s="6">
        <v>352.42</v>
      </c>
      <c r="O1223" s="6">
        <v>0</v>
      </c>
      <c r="P1223" s="6">
        <f>IF(O1223&gt;0,1,0)</f>
        <v>0</v>
      </c>
      <c r="Q1223" s="6">
        <v>0</v>
      </c>
      <c r="R1223" s="6">
        <v>4</v>
      </c>
      <c r="S1223" s="6">
        <v>58.5</v>
      </c>
      <c r="T1223" s="6">
        <f>IF(S1223="",MEDIAN($S$2:$S$1409),S1223)</f>
        <v>58.5</v>
      </c>
    </row>
    <row r="1224" spans="1:20" ht="15" customHeight="1">
      <c r="A1224" s="6" t="s">
        <v>1259</v>
      </c>
      <c r="B1224" s="7">
        <v>45725</v>
      </c>
      <c r="C1224" s="6" t="s">
        <v>727</v>
      </c>
      <c r="D1224" s="6" t="s">
        <v>27</v>
      </c>
      <c r="E1224" s="6" t="s">
        <v>28</v>
      </c>
      <c r="F1224" s="6" t="str">
        <f>IF(E1224="","Unknown",E1224)</f>
        <v>Mobile</v>
      </c>
      <c r="G1224" s="6" t="s">
        <v>29</v>
      </c>
      <c r="H1224" s="6" t="str">
        <f>IF(G1224="","Unknown",G1224)</f>
        <v>Organic</v>
      </c>
      <c r="I1224" s="6" t="s">
        <v>30</v>
      </c>
      <c r="J1224" s="6">
        <v>0</v>
      </c>
      <c r="K1224" s="6"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f>IF(O1224&gt;0,1,0)</f>
        <v>0</v>
      </c>
      <c r="Q1224" s="6">
        <v>0</v>
      </c>
      <c r="S1224" s="6">
        <v>63.5</v>
      </c>
      <c r="T1224" s="6">
        <f>IF(S1224="",MEDIAN($S$2:$S$1409),S1224)</f>
        <v>63.5</v>
      </c>
    </row>
    <row r="1225" spans="1:20" ht="15" customHeight="1">
      <c r="A1225" s="6" t="s">
        <v>1260</v>
      </c>
      <c r="B1225" s="7">
        <v>45695</v>
      </c>
      <c r="C1225" s="6" t="s">
        <v>727</v>
      </c>
      <c r="D1225" s="6" t="s">
        <v>22</v>
      </c>
      <c r="E1225" s="6" t="s">
        <v>28</v>
      </c>
      <c r="F1225" s="6" t="str">
        <f>IF(E1225="","Unknown",E1225)</f>
        <v>Mobile</v>
      </c>
      <c r="G1225" s="6" t="s">
        <v>33</v>
      </c>
      <c r="H1225" s="6" t="str">
        <f>IF(G1225="","Unknown",G1225)</f>
        <v>Paid Search</v>
      </c>
      <c r="I1225" s="6" t="s">
        <v>25</v>
      </c>
      <c r="J1225" s="6">
        <v>1</v>
      </c>
      <c r="K1225" s="6">
        <v>0</v>
      </c>
      <c r="L1225" s="6">
        <v>0</v>
      </c>
      <c r="M1225" s="6">
        <v>0</v>
      </c>
      <c r="N1225" s="6">
        <v>0</v>
      </c>
      <c r="O1225" s="6">
        <v>1</v>
      </c>
      <c r="P1225" s="6">
        <f>IF(O1225&gt;0,1,0)</f>
        <v>1</v>
      </c>
      <c r="Q1225" s="6">
        <v>0</v>
      </c>
      <c r="S1225" s="6">
        <v>64.8</v>
      </c>
      <c r="T1225" s="6">
        <f>IF(S1225="",MEDIAN($S$2:$S$1409),S1225)</f>
        <v>64.8</v>
      </c>
    </row>
    <row r="1226" spans="1:20" ht="15" customHeight="1">
      <c r="A1226" s="6" t="s">
        <v>1261</v>
      </c>
      <c r="B1226" s="7">
        <v>45688</v>
      </c>
      <c r="C1226" s="6" t="s">
        <v>727</v>
      </c>
      <c r="D1226" s="6" t="s">
        <v>27</v>
      </c>
      <c r="E1226" s="6" t="s">
        <v>28</v>
      </c>
      <c r="F1226" s="6" t="str">
        <f>IF(E1226="","Unknown",E1226)</f>
        <v>Mobile</v>
      </c>
      <c r="G1226" s="6" t="s">
        <v>45</v>
      </c>
      <c r="H1226" s="6" t="str">
        <f>IF(G1226="","Unknown",G1226)</f>
        <v>Social</v>
      </c>
      <c r="I1226" s="6" t="s">
        <v>30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f>IF(O1226&gt;0,1,0)</f>
        <v>0</v>
      </c>
      <c r="Q1226" s="6">
        <v>0</v>
      </c>
      <c r="S1226" s="6">
        <v>63.3</v>
      </c>
      <c r="T1226" s="6">
        <f>IF(S1226="",MEDIAN($S$2:$S$1409),S1226)</f>
        <v>63.3</v>
      </c>
    </row>
    <row r="1227" spans="1:20" ht="15" customHeight="1">
      <c r="A1227" s="6" t="s">
        <v>1262</v>
      </c>
      <c r="B1227" s="7">
        <v>45702</v>
      </c>
      <c r="C1227" s="6" t="s">
        <v>727</v>
      </c>
      <c r="D1227" s="6" t="s">
        <v>22</v>
      </c>
      <c r="E1227" s="6" t="s">
        <v>38</v>
      </c>
      <c r="F1227" s="6" t="str">
        <f>IF(E1227="","Unknown",E1227)</f>
        <v>Tablet</v>
      </c>
      <c r="G1227" s="6" t="s">
        <v>33</v>
      </c>
      <c r="H1227" s="6" t="str">
        <f>IF(G1227="","Unknown",G1227)</f>
        <v>Paid Search</v>
      </c>
      <c r="I1227" s="6" t="s">
        <v>25</v>
      </c>
      <c r="J1227" s="6">
        <v>1</v>
      </c>
      <c r="K1227" s="6">
        <v>1</v>
      </c>
      <c r="L1227" s="6">
        <v>1</v>
      </c>
      <c r="M1227" s="6">
        <v>1</v>
      </c>
      <c r="N1227" s="6">
        <v>1074.1600000000001</v>
      </c>
      <c r="O1227" s="6">
        <v>0</v>
      </c>
      <c r="P1227" s="6">
        <f>IF(O1227&gt;0,1,0)</f>
        <v>0</v>
      </c>
      <c r="Q1227" s="6">
        <v>0</v>
      </c>
      <c r="R1227" s="6">
        <v>8</v>
      </c>
      <c r="S1227" s="6">
        <v>83.7</v>
      </c>
      <c r="T1227" s="6">
        <f>IF(S1227="",MEDIAN($S$2:$S$1409),S1227)</f>
        <v>83.7</v>
      </c>
    </row>
    <row r="1228" spans="1:20" ht="15" customHeight="1">
      <c r="A1228" s="6" t="s">
        <v>1263</v>
      </c>
      <c r="B1228" s="7">
        <v>45700</v>
      </c>
      <c r="C1228" s="6" t="s">
        <v>727</v>
      </c>
      <c r="D1228" s="6" t="s">
        <v>36</v>
      </c>
      <c r="E1228" s="6" t="s">
        <v>23</v>
      </c>
      <c r="F1228" s="6" t="str">
        <f>IF(E1228="","Unknown",E1228)</f>
        <v>Desktop</v>
      </c>
      <c r="G1228" s="6" t="s">
        <v>45</v>
      </c>
      <c r="H1228" s="6" t="str">
        <f>IF(G1228="","Unknown",G1228)</f>
        <v>Social</v>
      </c>
      <c r="I1228" s="6" t="s">
        <v>25</v>
      </c>
      <c r="J1228" s="6">
        <v>0</v>
      </c>
      <c r="K1228" s="6">
        <v>0</v>
      </c>
      <c r="L1228" s="6">
        <v>0</v>
      </c>
      <c r="M1228" s="6">
        <v>0</v>
      </c>
      <c r="N1228" s="6">
        <v>0</v>
      </c>
      <c r="O1228" s="6">
        <v>0</v>
      </c>
      <c r="P1228" s="6">
        <f>IF(O1228&gt;0,1,0)</f>
        <v>0</v>
      </c>
      <c r="Q1228" s="6">
        <v>0</v>
      </c>
      <c r="S1228" s="6">
        <v>88.7</v>
      </c>
      <c r="T1228" s="6">
        <f>IF(S1228="",MEDIAN($S$2:$S$1409),S1228)</f>
        <v>88.7</v>
      </c>
    </row>
    <row r="1229" spans="1:20" ht="15" customHeight="1">
      <c r="A1229" s="6" t="s">
        <v>1264</v>
      </c>
      <c r="B1229" s="7">
        <v>45739</v>
      </c>
      <c r="C1229" s="6" t="s">
        <v>727</v>
      </c>
      <c r="D1229" s="6" t="s">
        <v>32</v>
      </c>
      <c r="E1229" s="6"/>
      <c r="F1229" s="6" t="str">
        <f>IF(E1229="","Unknown",E1229)</f>
        <v>Unknown</v>
      </c>
      <c r="G1229" s="6" t="s">
        <v>33</v>
      </c>
      <c r="H1229" s="6" t="str">
        <f>IF(G1229="","Unknown",G1229)</f>
        <v>Paid Search</v>
      </c>
      <c r="I1229" s="6" t="s">
        <v>30</v>
      </c>
      <c r="J1229" s="6">
        <v>1</v>
      </c>
      <c r="K1229" s="6">
        <v>0</v>
      </c>
      <c r="L1229" s="6">
        <v>0</v>
      </c>
      <c r="M1229" s="6">
        <v>0</v>
      </c>
      <c r="N1229" s="6">
        <v>0</v>
      </c>
      <c r="O1229" s="6">
        <v>1</v>
      </c>
      <c r="P1229" s="6">
        <f>IF(O1229&gt;0,1,0)</f>
        <v>1</v>
      </c>
      <c r="Q1229" s="6">
        <v>0</v>
      </c>
      <c r="S1229" s="6">
        <v>61.5</v>
      </c>
      <c r="T1229" s="6">
        <f>IF(S1229="",MEDIAN($S$2:$S$1409),S1229)</f>
        <v>61.5</v>
      </c>
    </row>
    <row r="1230" spans="1:20" ht="15" customHeight="1">
      <c r="A1230" s="6" t="s">
        <v>1265</v>
      </c>
      <c r="B1230" s="7">
        <v>45734</v>
      </c>
      <c r="C1230" s="6" t="s">
        <v>727</v>
      </c>
      <c r="D1230" s="6" t="s">
        <v>27</v>
      </c>
      <c r="E1230" s="6" t="s">
        <v>28</v>
      </c>
      <c r="F1230" s="6" t="str">
        <f>IF(E1230="","Unknown",E1230)</f>
        <v>Mobile</v>
      </c>
      <c r="G1230" s="6" t="s">
        <v>33</v>
      </c>
      <c r="H1230" s="6" t="str">
        <f>IF(G1230="","Unknown",G1230)</f>
        <v>Paid Search</v>
      </c>
      <c r="I1230" s="6" t="s">
        <v>30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6">
        <v>0</v>
      </c>
      <c r="P1230" s="6">
        <f>IF(O1230&gt;0,1,0)</f>
        <v>0</v>
      </c>
      <c r="Q1230" s="6">
        <v>0</v>
      </c>
      <c r="S1230" s="6">
        <v>45.3</v>
      </c>
      <c r="T1230" s="6">
        <f>IF(S1230="",MEDIAN($S$2:$S$1409),S1230)</f>
        <v>45.3</v>
      </c>
    </row>
    <row r="1231" spans="1:20" ht="15" customHeight="1">
      <c r="A1231" s="6" t="s">
        <v>1266</v>
      </c>
      <c r="B1231" s="7">
        <v>45794</v>
      </c>
      <c r="C1231" s="6" t="s">
        <v>727</v>
      </c>
      <c r="D1231" s="6" t="s">
        <v>22</v>
      </c>
      <c r="E1231" s="6" t="s">
        <v>28</v>
      </c>
      <c r="F1231" s="6" t="str">
        <f>IF(E1231="","Unknown",E1231)</f>
        <v>Mobile</v>
      </c>
      <c r="G1231" s="6" t="s">
        <v>45</v>
      </c>
      <c r="H1231" s="6" t="str">
        <f>IF(G1231="","Unknown",G1231)</f>
        <v>Social</v>
      </c>
      <c r="I1231" s="6" t="s">
        <v>30</v>
      </c>
      <c r="J1231" s="6">
        <v>1</v>
      </c>
      <c r="K1231" s="6">
        <v>0</v>
      </c>
      <c r="L1231" s="6">
        <v>0</v>
      </c>
      <c r="M1231" s="6">
        <v>0</v>
      </c>
      <c r="N1231" s="6">
        <v>0</v>
      </c>
      <c r="O1231" s="6">
        <v>0</v>
      </c>
      <c r="P1231" s="6">
        <f>IF(O1231&gt;0,1,0)</f>
        <v>0</v>
      </c>
      <c r="Q1231" s="6">
        <v>0</v>
      </c>
      <c r="S1231" s="6">
        <v>37.299999999999997</v>
      </c>
      <c r="T1231" s="6">
        <f>IF(S1231="",MEDIAN($S$2:$S$1409),S1231)</f>
        <v>37.299999999999997</v>
      </c>
    </row>
    <row r="1232" spans="1:20" ht="15" customHeight="1">
      <c r="A1232" s="6" t="s">
        <v>1267</v>
      </c>
      <c r="B1232" s="7">
        <v>45742</v>
      </c>
      <c r="C1232" s="6" t="s">
        <v>727</v>
      </c>
      <c r="D1232" s="6" t="s">
        <v>27</v>
      </c>
      <c r="E1232" s="6" t="s">
        <v>23</v>
      </c>
      <c r="F1232" s="6" t="str">
        <f>IF(E1232="","Unknown",E1232)</f>
        <v>Desktop</v>
      </c>
      <c r="G1232" s="6" t="s">
        <v>45</v>
      </c>
      <c r="H1232" s="6" t="str">
        <f>IF(G1232="","Unknown",G1232)</f>
        <v>Social</v>
      </c>
      <c r="I1232" s="6" t="s">
        <v>34</v>
      </c>
      <c r="J1232" s="6">
        <v>1</v>
      </c>
      <c r="K1232" s="6">
        <v>0</v>
      </c>
      <c r="L1232" s="6">
        <v>0</v>
      </c>
      <c r="M1232" s="6">
        <v>0</v>
      </c>
      <c r="N1232" s="6">
        <v>0</v>
      </c>
      <c r="O1232" s="6">
        <v>1</v>
      </c>
      <c r="P1232" s="6">
        <f>IF(O1232&gt;0,1,0)</f>
        <v>1</v>
      </c>
      <c r="Q1232" s="6">
        <v>0</v>
      </c>
      <c r="S1232" s="6">
        <v>76.099999999999994</v>
      </c>
      <c r="T1232" s="6">
        <f>IF(S1232="",MEDIAN($S$2:$S$1409),S1232)</f>
        <v>76.099999999999994</v>
      </c>
    </row>
    <row r="1233" spans="1:20" ht="15" customHeight="1">
      <c r="A1233" s="6" t="s">
        <v>1268</v>
      </c>
      <c r="B1233" s="7">
        <v>45746</v>
      </c>
      <c r="C1233" s="6" t="s">
        <v>727</v>
      </c>
      <c r="D1233" s="6" t="s">
        <v>32</v>
      </c>
      <c r="E1233" s="6" t="s">
        <v>28</v>
      </c>
      <c r="F1233" s="6" t="str">
        <f>IF(E1233="","Unknown",E1233)</f>
        <v>Mobile</v>
      </c>
      <c r="G1233" s="6" t="s">
        <v>29</v>
      </c>
      <c r="H1233" s="6" t="str">
        <f>IF(G1233="","Unknown",G1233)</f>
        <v>Organic</v>
      </c>
      <c r="I1233" s="6" t="s">
        <v>30</v>
      </c>
      <c r="J1233" s="6">
        <v>1</v>
      </c>
      <c r="K1233" s="6">
        <v>1</v>
      </c>
      <c r="L1233" s="6">
        <v>1</v>
      </c>
      <c r="M1233" s="6">
        <v>0</v>
      </c>
      <c r="N1233" s="6">
        <v>0</v>
      </c>
      <c r="O1233" s="6">
        <v>1</v>
      </c>
      <c r="P1233" s="6">
        <f>IF(O1233&gt;0,1,0)</f>
        <v>1</v>
      </c>
      <c r="Q1233" s="6">
        <v>0</v>
      </c>
      <c r="S1233" s="6">
        <v>72.5</v>
      </c>
      <c r="T1233" s="6">
        <f>IF(S1233="",MEDIAN($S$2:$S$1409),S1233)</f>
        <v>72.5</v>
      </c>
    </row>
    <row r="1234" spans="1:20" ht="15" customHeight="1">
      <c r="A1234" s="6" t="s">
        <v>1269</v>
      </c>
      <c r="B1234" s="7">
        <v>45713</v>
      </c>
      <c r="C1234" s="6" t="s">
        <v>727</v>
      </c>
      <c r="D1234" s="6" t="s">
        <v>32</v>
      </c>
      <c r="E1234" s="6" t="s">
        <v>23</v>
      </c>
      <c r="F1234" s="6" t="str">
        <f>IF(E1234="","Unknown",E1234)</f>
        <v>Desktop</v>
      </c>
      <c r="G1234" s="6" t="s">
        <v>29</v>
      </c>
      <c r="H1234" s="6" t="str">
        <f>IF(G1234="","Unknown",G1234)</f>
        <v>Organic</v>
      </c>
      <c r="I1234" s="6" t="s">
        <v>30</v>
      </c>
      <c r="J1234" s="6">
        <v>1</v>
      </c>
      <c r="K1234" s="6"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f>IF(O1234&gt;0,1,0)</f>
        <v>0</v>
      </c>
      <c r="Q1234" s="6">
        <v>0</v>
      </c>
      <c r="S1234" s="6">
        <v>62.3</v>
      </c>
      <c r="T1234" s="6">
        <f>IF(S1234="",MEDIAN($S$2:$S$1409),S1234)</f>
        <v>62.3</v>
      </c>
    </row>
    <row r="1235" spans="1:20" ht="15" customHeight="1">
      <c r="A1235" s="6" t="s">
        <v>1270</v>
      </c>
      <c r="B1235" s="7">
        <v>45717</v>
      </c>
      <c r="C1235" s="6" t="s">
        <v>727</v>
      </c>
      <c r="D1235" s="6" t="s">
        <v>32</v>
      </c>
      <c r="E1235" s="6" t="s">
        <v>23</v>
      </c>
      <c r="F1235" s="6" t="str">
        <f>IF(E1235="","Unknown",E1235)</f>
        <v>Desktop</v>
      </c>
      <c r="G1235" s="6" t="s">
        <v>45</v>
      </c>
      <c r="H1235" s="6" t="str">
        <f>IF(G1235="","Unknown",G1235)</f>
        <v>Social</v>
      </c>
      <c r="I1235" s="6" t="s">
        <v>30</v>
      </c>
      <c r="J1235" s="6">
        <v>0</v>
      </c>
      <c r="K1235" s="6">
        <v>0</v>
      </c>
      <c r="L1235" s="6">
        <v>0</v>
      </c>
      <c r="M1235" s="6">
        <v>0</v>
      </c>
      <c r="N1235" s="6">
        <v>0</v>
      </c>
      <c r="O1235" s="6">
        <v>0</v>
      </c>
      <c r="P1235" s="6">
        <f>IF(O1235&gt;0,1,0)</f>
        <v>0</v>
      </c>
      <c r="Q1235" s="6">
        <v>0</v>
      </c>
      <c r="S1235" s="6">
        <v>62.7</v>
      </c>
      <c r="T1235" s="6">
        <f>IF(S1235="",MEDIAN($S$2:$S$1409),S1235)</f>
        <v>62.7</v>
      </c>
    </row>
    <row r="1236" spans="1:20" ht="15" customHeight="1">
      <c r="A1236" s="6" t="s">
        <v>1271</v>
      </c>
      <c r="B1236" s="7">
        <v>45804</v>
      </c>
      <c r="C1236" s="6" t="s">
        <v>727</v>
      </c>
      <c r="D1236" s="6" t="s">
        <v>22</v>
      </c>
      <c r="E1236" s="6" t="s">
        <v>28</v>
      </c>
      <c r="F1236" s="6" t="str">
        <f>IF(E1236="","Unknown",E1236)</f>
        <v>Mobile</v>
      </c>
      <c r="G1236" s="6" t="s">
        <v>33</v>
      </c>
      <c r="H1236" s="6" t="str">
        <f>IF(G1236="","Unknown",G1236)</f>
        <v>Paid Search</v>
      </c>
      <c r="I1236" s="6" t="s">
        <v>25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f>IF(O1236&gt;0,1,0)</f>
        <v>0</v>
      </c>
      <c r="Q1236" s="6">
        <v>0</v>
      </c>
      <c r="S1236" s="6">
        <v>82.4</v>
      </c>
      <c r="T1236" s="6">
        <f>IF(S1236="",MEDIAN($S$2:$S$1409),S1236)</f>
        <v>82.4</v>
      </c>
    </row>
    <row r="1237" spans="1:20" ht="15" customHeight="1">
      <c r="A1237" s="6" t="s">
        <v>1272</v>
      </c>
      <c r="B1237" s="7">
        <v>45693</v>
      </c>
      <c r="C1237" s="6" t="s">
        <v>727</v>
      </c>
      <c r="D1237" s="6" t="s">
        <v>27</v>
      </c>
      <c r="E1237" s="6" t="s">
        <v>28</v>
      </c>
      <c r="F1237" s="6" t="str">
        <f>IF(E1237="","Unknown",E1237)</f>
        <v>Mobile</v>
      </c>
      <c r="G1237" s="6"/>
      <c r="H1237" s="6" t="str">
        <f>IF(G1237="","Unknown",G1237)</f>
        <v>Unknown</v>
      </c>
      <c r="I1237" s="6" t="s">
        <v>34</v>
      </c>
      <c r="J1237" s="6">
        <v>1</v>
      </c>
      <c r="K1237" s="6">
        <v>0</v>
      </c>
      <c r="L1237" s="6">
        <v>0</v>
      </c>
      <c r="M1237" s="6">
        <v>0</v>
      </c>
      <c r="N1237" s="6">
        <v>0</v>
      </c>
      <c r="O1237" s="6">
        <v>0</v>
      </c>
      <c r="P1237" s="6">
        <f>IF(O1237&gt;0,1,0)</f>
        <v>0</v>
      </c>
      <c r="Q1237" s="6">
        <v>0</v>
      </c>
      <c r="S1237" s="6">
        <v>78.900000000000006</v>
      </c>
      <c r="T1237" s="6">
        <f>IF(S1237="",MEDIAN($S$2:$S$1409),S1237)</f>
        <v>78.900000000000006</v>
      </c>
    </row>
    <row r="1238" spans="1:20" ht="15" customHeight="1">
      <c r="A1238" s="6" t="s">
        <v>1273</v>
      </c>
      <c r="B1238" s="7">
        <v>45682</v>
      </c>
      <c r="C1238" s="6" t="s">
        <v>727</v>
      </c>
      <c r="D1238" s="6" t="s">
        <v>27</v>
      </c>
      <c r="E1238" s="6" t="s">
        <v>23</v>
      </c>
      <c r="F1238" s="6" t="str">
        <f>IF(E1238="","Unknown",E1238)</f>
        <v>Desktop</v>
      </c>
      <c r="G1238" s="6" t="s">
        <v>24</v>
      </c>
      <c r="H1238" s="6" t="str">
        <f>IF(G1238="","Unknown",G1238)</f>
        <v>Email</v>
      </c>
      <c r="I1238" s="6" t="s">
        <v>30</v>
      </c>
      <c r="J1238" s="6">
        <v>1</v>
      </c>
      <c r="K1238" s="6">
        <v>1</v>
      </c>
      <c r="L1238" s="6">
        <v>1</v>
      </c>
      <c r="M1238" s="6">
        <v>1</v>
      </c>
      <c r="N1238" s="6">
        <v>618.91</v>
      </c>
      <c r="O1238" s="6">
        <v>0</v>
      </c>
      <c r="P1238" s="6">
        <f>IF(O1238&gt;0,1,0)</f>
        <v>0</v>
      </c>
      <c r="Q1238" s="6">
        <v>0</v>
      </c>
      <c r="R1238" s="6">
        <v>4</v>
      </c>
      <c r="S1238" s="6">
        <v>67.8</v>
      </c>
      <c r="T1238" s="6">
        <f>IF(S1238="",MEDIAN($S$2:$S$1409),S1238)</f>
        <v>67.8</v>
      </c>
    </row>
    <row r="1239" spans="1:20" ht="15" customHeight="1">
      <c r="A1239" s="6" t="s">
        <v>1274</v>
      </c>
      <c r="B1239" s="7">
        <v>45757</v>
      </c>
      <c r="C1239" s="6" t="s">
        <v>727</v>
      </c>
      <c r="D1239" s="6" t="s">
        <v>32</v>
      </c>
      <c r="E1239" s="6" t="s">
        <v>28</v>
      </c>
      <c r="F1239" s="6" t="str">
        <f>IF(E1239="","Unknown",E1239)</f>
        <v>Mobile</v>
      </c>
      <c r="G1239" s="6" t="s">
        <v>29</v>
      </c>
      <c r="H1239" s="6" t="str">
        <f>IF(G1239="","Unknown",G1239)</f>
        <v>Organic</v>
      </c>
      <c r="I1239" s="6" t="s">
        <v>34</v>
      </c>
      <c r="J1239" s="6">
        <v>1</v>
      </c>
      <c r="K1239" s="6">
        <v>0</v>
      </c>
      <c r="L1239" s="6">
        <v>0</v>
      </c>
      <c r="M1239" s="6">
        <v>0</v>
      </c>
      <c r="N1239" s="6">
        <v>0</v>
      </c>
      <c r="O1239" s="6">
        <v>0</v>
      </c>
      <c r="P1239" s="6">
        <f>IF(O1239&gt;0,1,0)</f>
        <v>0</v>
      </c>
      <c r="Q1239" s="6">
        <v>0</v>
      </c>
      <c r="S1239" s="6">
        <v>68.8</v>
      </c>
      <c r="T1239" s="6">
        <f>IF(S1239="",MEDIAN($S$2:$S$1409),S1239)</f>
        <v>68.8</v>
      </c>
    </row>
    <row r="1240" spans="1:20" ht="15" customHeight="1">
      <c r="A1240" s="6" t="s">
        <v>1275</v>
      </c>
      <c r="B1240" s="7">
        <v>45667</v>
      </c>
      <c r="C1240" s="6" t="s">
        <v>727</v>
      </c>
      <c r="D1240" s="6" t="s">
        <v>32</v>
      </c>
      <c r="E1240" s="6" t="s">
        <v>28</v>
      </c>
      <c r="F1240" s="6" t="str">
        <f>IF(E1240="","Unknown",E1240)</f>
        <v>Mobile</v>
      </c>
      <c r="G1240" s="6" t="s">
        <v>29</v>
      </c>
      <c r="H1240" s="6" t="str">
        <f>IF(G1240="","Unknown",G1240)</f>
        <v>Organic</v>
      </c>
      <c r="I1240" s="6" t="s">
        <v>34</v>
      </c>
      <c r="J1240" s="6">
        <v>1</v>
      </c>
      <c r="K1240" s="6">
        <v>0</v>
      </c>
      <c r="L1240" s="6">
        <v>0</v>
      </c>
      <c r="M1240" s="6">
        <v>0</v>
      </c>
      <c r="N1240" s="6">
        <v>0</v>
      </c>
      <c r="O1240" s="6">
        <v>0</v>
      </c>
      <c r="P1240" s="6">
        <f>IF(O1240&gt;0,1,0)</f>
        <v>0</v>
      </c>
      <c r="Q1240" s="6">
        <v>0</v>
      </c>
      <c r="S1240" s="6">
        <v>67.7</v>
      </c>
      <c r="T1240" s="6">
        <f>IF(S1240="",MEDIAN($S$2:$S$1409),S1240)</f>
        <v>67.7</v>
      </c>
    </row>
    <row r="1241" spans="1:20" ht="15" customHeight="1">
      <c r="A1241" s="6" t="s">
        <v>1276</v>
      </c>
      <c r="B1241" s="7">
        <v>45711</v>
      </c>
      <c r="C1241" s="6" t="s">
        <v>727</v>
      </c>
      <c r="D1241" s="6" t="s">
        <v>32</v>
      </c>
      <c r="E1241" s="6" t="s">
        <v>28</v>
      </c>
      <c r="F1241" s="6" t="str">
        <f>IF(E1241="","Unknown",E1241)</f>
        <v>Mobile</v>
      </c>
      <c r="G1241" s="6"/>
      <c r="H1241" s="6" t="str">
        <f>IF(G1241="","Unknown",G1241)</f>
        <v>Unknown</v>
      </c>
      <c r="I1241" s="6" t="s">
        <v>30</v>
      </c>
      <c r="J1241" s="6">
        <v>0</v>
      </c>
      <c r="K1241" s="6">
        <v>0</v>
      </c>
      <c r="L1241" s="6">
        <v>0</v>
      </c>
      <c r="M1241" s="6">
        <v>0</v>
      </c>
      <c r="N1241" s="6">
        <v>0</v>
      </c>
      <c r="O1241" s="6">
        <v>0</v>
      </c>
      <c r="P1241" s="6">
        <f>IF(O1241&gt;0,1,0)</f>
        <v>0</v>
      </c>
      <c r="Q1241" s="6">
        <v>0</v>
      </c>
      <c r="S1241" s="6">
        <v>88</v>
      </c>
      <c r="T1241" s="6">
        <f>IF(S1241="",MEDIAN($S$2:$S$1409),S1241)</f>
        <v>88</v>
      </c>
    </row>
    <row r="1242" spans="1:20" ht="15" customHeight="1">
      <c r="A1242" s="6" t="s">
        <v>1277</v>
      </c>
      <c r="B1242" s="7">
        <v>45800</v>
      </c>
      <c r="C1242" s="6" t="s">
        <v>727</v>
      </c>
      <c r="D1242" s="6" t="s">
        <v>27</v>
      </c>
      <c r="E1242" s="6" t="s">
        <v>23</v>
      </c>
      <c r="F1242" s="6" t="str">
        <f>IF(E1242="","Unknown",E1242)</f>
        <v>Desktop</v>
      </c>
      <c r="G1242" s="6" t="s">
        <v>29</v>
      </c>
      <c r="H1242" s="6" t="str">
        <f>IF(G1242="","Unknown",G1242)</f>
        <v>Organic</v>
      </c>
      <c r="I1242" s="6" t="s">
        <v>25</v>
      </c>
      <c r="J1242" s="6">
        <v>1</v>
      </c>
      <c r="K1242" s="6">
        <v>1</v>
      </c>
      <c r="L1242" s="6">
        <v>0</v>
      </c>
      <c r="M1242" s="6">
        <v>0</v>
      </c>
      <c r="N1242" s="6">
        <v>0</v>
      </c>
      <c r="O1242" s="6">
        <v>0</v>
      </c>
      <c r="P1242" s="6">
        <f>IF(O1242&gt;0,1,0)</f>
        <v>0</v>
      </c>
      <c r="Q1242" s="6">
        <v>0</v>
      </c>
      <c r="S1242" s="6">
        <v>80.099999999999994</v>
      </c>
      <c r="T1242" s="6">
        <f>IF(S1242="",MEDIAN($S$2:$S$1409),S1242)</f>
        <v>80.099999999999994</v>
      </c>
    </row>
    <row r="1243" spans="1:20" ht="15" customHeight="1">
      <c r="A1243" s="6" t="s">
        <v>1278</v>
      </c>
      <c r="B1243" s="7">
        <v>45724</v>
      </c>
      <c r="C1243" s="6" t="s">
        <v>727</v>
      </c>
      <c r="D1243" s="6" t="s">
        <v>22</v>
      </c>
      <c r="E1243" s="6" t="s">
        <v>38</v>
      </c>
      <c r="F1243" s="6" t="str">
        <f>IF(E1243="","Unknown",E1243)</f>
        <v>Tablet</v>
      </c>
      <c r="G1243" s="6" t="s">
        <v>24</v>
      </c>
      <c r="H1243" s="6" t="str">
        <f>IF(G1243="","Unknown",G1243)</f>
        <v>Email</v>
      </c>
      <c r="I1243" s="6" t="s">
        <v>25</v>
      </c>
      <c r="J1243" s="6">
        <v>0</v>
      </c>
      <c r="K1243" s="6">
        <v>0</v>
      </c>
      <c r="L1243" s="6">
        <v>0</v>
      </c>
      <c r="M1243" s="6">
        <v>0</v>
      </c>
      <c r="N1243" s="6">
        <v>0</v>
      </c>
      <c r="O1243" s="6">
        <v>1</v>
      </c>
      <c r="P1243" s="6">
        <f>IF(O1243&gt;0,1,0)</f>
        <v>1</v>
      </c>
      <c r="Q1243" s="6">
        <v>0</v>
      </c>
      <c r="S1243" s="6">
        <v>48.2</v>
      </c>
      <c r="T1243" s="6">
        <f>IF(S1243="",MEDIAN($S$2:$S$1409),S1243)</f>
        <v>48.2</v>
      </c>
    </row>
    <row r="1244" spans="1:20" ht="15" customHeight="1">
      <c r="A1244" s="6" t="s">
        <v>1279</v>
      </c>
      <c r="B1244" s="7">
        <v>45798</v>
      </c>
      <c r="C1244" s="6" t="s">
        <v>727</v>
      </c>
      <c r="D1244" s="6" t="s">
        <v>32</v>
      </c>
      <c r="E1244" s="6" t="s">
        <v>28</v>
      </c>
      <c r="F1244" s="6" t="str">
        <f>IF(E1244="","Unknown",E1244)</f>
        <v>Mobile</v>
      </c>
      <c r="G1244" s="6" t="s">
        <v>29</v>
      </c>
      <c r="H1244" s="6" t="str">
        <f>IF(G1244="","Unknown",G1244)</f>
        <v>Organic</v>
      </c>
      <c r="I1244" s="6" t="s">
        <v>25</v>
      </c>
      <c r="J1244" s="6">
        <v>1</v>
      </c>
      <c r="K1244" s="6"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f>IF(O1244&gt;0,1,0)</f>
        <v>0</v>
      </c>
      <c r="Q1244" s="6">
        <v>0</v>
      </c>
      <c r="S1244" s="6">
        <v>52.7</v>
      </c>
      <c r="T1244" s="6">
        <f>IF(S1244="",MEDIAN($S$2:$S$1409),S1244)</f>
        <v>52.7</v>
      </c>
    </row>
    <row r="1245" spans="1:20" ht="15" customHeight="1">
      <c r="A1245" s="6" t="s">
        <v>1280</v>
      </c>
      <c r="B1245" s="7">
        <v>45769</v>
      </c>
      <c r="C1245" s="6" t="s">
        <v>727</v>
      </c>
      <c r="D1245" s="6" t="s">
        <v>22</v>
      </c>
      <c r="E1245" s="6" t="s">
        <v>28</v>
      </c>
      <c r="F1245" s="6" t="str">
        <f>IF(E1245="","Unknown",E1245)</f>
        <v>Mobile</v>
      </c>
      <c r="G1245" s="6" t="s">
        <v>24</v>
      </c>
      <c r="H1245" s="6" t="str">
        <f>IF(G1245="","Unknown",G1245)</f>
        <v>Email</v>
      </c>
      <c r="I1245" s="6" t="s">
        <v>25</v>
      </c>
      <c r="J1245" s="6">
        <v>1</v>
      </c>
      <c r="K1245" s="6">
        <v>1</v>
      </c>
      <c r="L1245" s="6">
        <v>0</v>
      </c>
      <c r="M1245" s="6">
        <v>0</v>
      </c>
      <c r="N1245" s="6">
        <v>0</v>
      </c>
      <c r="O1245" s="6">
        <v>0</v>
      </c>
      <c r="P1245" s="6">
        <f>IF(O1245&gt;0,1,0)</f>
        <v>0</v>
      </c>
      <c r="Q1245" s="6">
        <v>0</v>
      </c>
      <c r="S1245" s="6">
        <v>59.9</v>
      </c>
      <c r="T1245" s="6">
        <f>IF(S1245="",MEDIAN($S$2:$S$1409),S1245)</f>
        <v>59.9</v>
      </c>
    </row>
    <row r="1246" spans="1:20" ht="15" customHeight="1">
      <c r="A1246" s="6" t="s">
        <v>1281</v>
      </c>
      <c r="B1246" s="7">
        <v>45763</v>
      </c>
      <c r="C1246" s="6" t="s">
        <v>727</v>
      </c>
      <c r="D1246" s="6" t="s">
        <v>22</v>
      </c>
      <c r="E1246" s="6" t="s">
        <v>28</v>
      </c>
      <c r="F1246" s="6" t="str">
        <f>IF(E1246="","Unknown",E1246)</f>
        <v>Mobile</v>
      </c>
      <c r="G1246" s="6" t="s">
        <v>24</v>
      </c>
      <c r="H1246" s="6" t="str">
        <f>IF(G1246="","Unknown",G1246)</f>
        <v>Email</v>
      </c>
      <c r="I1246" s="6" t="s">
        <v>34</v>
      </c>
      <c r="J1246" s="6">
        <v>1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f>IF(O1246&gt;0,1,0)</f>
        <v>0</v>
      </c>
      <c r="Q1246" s="6">
        <v>0</v>
      </c>
      <c r="S1246" s="6">
        <v>49.5</v>
      </c>
      <c r="T1246" s="6">
        <f>IF(S1246="",MEDIAN($S$2:$S$1409),S1246)</f>
        <v>49.5</v>
      </c>
    </row>
    <row r="1247" spans="1:20" ht="15" customHeight="1">
      <c r="A1247" s="6" t="s">
        <v>1282</v>
      </c>
      <c r="B1247" s="7">
        <v>45785</v>
      </c>
      <c r="C1247" s="6" t="s">
        <v>727</v>
      </c>
      <c r="D1247" s="6" t="s">
        <v>22</v>
      </c>
      <c r="E1247" s="6" t="s">
        <v>38</v>
      </c>
      <c r="F1247" s="6" t="str">
        <f>IF(E1247="","Unknown",E1247)</f>
        <v>Tablet</v>
      </c>
      <c r="G1247" s="6" t="s">
        <v>29</v>
      </c>
      <c r="H1247" s="6" t="str">
        <f>IF(G1247="","Unknown",G1247)</f>
        <v>Organic</v>
      </c>
      <c r="I1247" s="6" t="s">
        <v>30</v>
      </c>
      <c r="J1247" s="6">
        <v>1</v>
      </c>
      <c r="K1247" s="6">
        <v>0</v>
      </c>
      <c r="L1247" s="6">
        <v>0</v>
      </c>
      <c r="M1247" s="6">
        <v>0</v>
      </c>
      <c r="N1247" s="6">
        <v>0</v>
      </c>
      <c r="O1247" s="6">
        <v>0</v>
      </c>
      <c r="P1247" s="6">
        <f>IF(O1247&gt;0,1,0)</f>
        <v>0</v>
      </c>
      <c r="Q1247" s="6">
        <v>0</v>
      </c>
      <c r="S1247" s="6">
        <v>41.5</v>
      </c>
      <c r="T1247" s="6">
        <f>IF(S1247="",MEDIAN($S$2:$S$1409),S1247)</f>
        <v>41.5</v>
      </c>
    </row>
    <row r="1248" spans="1:20" ht="15" customHeight="1">
      <c r="A1248" s="6" t="s">
        <v>1283</v>
      </c>
      <c r="B1248" s="7">
        <v>45799</v>
      </c>
      <c r="C1248" s="6" t="s">
        <v>727</v>
      </c>
      <c r="D1248" s="6" t="s">
        <v>22</v>
      </c>
      <c r="E1248" s="6" t="s">
        <v>28</v>
      </c>
      <c r="F1248" s="6" t="str">
        <f>IF(E1248="","Unknown",E1248)</f>
        <v>Mobile</v>
      </c>
      <c r="G1248" s="6" t="s">
        <v>33</v>
      </c>
      <c r="H1248" s="6" t="str">
        <f>IF(G1248="","Unknown",G1248)</f>
        <v>Paid Search</v>
      </c>
      <c r="I1248" s="6" t="s">
        <v>25</v>
      </c>
      <c r="J1248" s="6">
        <v>1</v>
      </c>
      <c r="K1248" s="6"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f>IF(O1248&gt;0,1,0)</f>
        <v>0</v>
      </c>
      <c r="Q1248" s="6">
        <v>0</v>
      </c>
      <c r="S1248" s="6">
        <v>71.2</v>
      </c>
      <c r="T1248" s="6">
        <f>IF(S1248="",MEDIAN($S$2:$S$1409),S1248)</f>
        <v>71.2</v>
      </c>
    </row>
    <row r="1249" spans="1:20" ht="15" customHeight="1">
      <c r="A1249" s="6" t="s">
        <v>1284</v>
      </c>
      <c r="B1249" s="7">
        <v>45737</v>
      </c>
      <c r="C1249" s="6" t="s">
        <v>727</v>
      </c>
      <c r="D1249" s="6" t="s">
        <v>22</v>
      </c>
      <c r="E1249" s="6" t="s">
        <v>28</v>
      </c>
      <c r="F1249" s="6" t="str">
        <f>IF(E1249="","Unknown",E1249)</f>
        <v>Mobile</v>
      </c>
      <c r="G1249" s="6" t="s">
        <v>43</v>
      </c>
      <c r="H1249" s="6" t="str">
        <f>IF(G1249="","Unknown",G1249)</f>
        <v>Referral</v>
      </c>
      <c r="I1249" s="6" t="s">
        <v>25</v>
      </c>
      <c r="J1249" s="6">
        <v>1</v>
      </c>
      <c r="K1249" s="6">
        <v>1</v>
      </c>
      <c r="L1249" s="6">
        <v>1</v>
      </c>
      <c r="M1249" s="6">
        <v>0</v>
      </c>
      <c r="N1249" s="6">
        <v>0</v>
      </c>
      <c r="O1249" s="6">
        <v>0</v>
      </c>
      <c r="P1249" s="6">
        <f>IF(O1249&gt;0,1,0)</f>
        <v>0</v>
      </c>
      <c r="Q1249" s="6">
        <v>0</v>
      </c>
      <c r="S1249" s="6">
        <v>65.8</v>
      </c>
      <c r="T1249" s="6">
        <f>IF(S1249="",MEDIAN($S$2:$S$1409),S1249)</f>
        <v>65.8</v>
      </c>
    </row>
    <row r="1250" spans="1:20" ht="15" customHeight="1">
      <c r="A1250" s="6" t="s">
        <v>1285</v>
      </c>
      <c r="B1250" s="7">
        <v>45738</v>
      </c>
      <c r="C1250" s="6" t="s">
        <v>727</v>
      </c>
      <c r="D1250" s="6" t="s">
        <v>32</v>
      </c>
      <c r="E1250" s="6" t="s">
        <v>28</v>
      </c>
      <c r="F1250" s="6" t="str">
        <f>IF(E1250="","Unknown",E1250)</f>
        <v>Mobile</v>
      </c>
      <c r="G1250" s="6" t="s">
        <v>29</v>
      </c>
      <c r="H1250" s="6" t="str">
        <f>IF(G1250="","Unknown",G1250)</f>
        <v>Organic</v>
      </c>
      <c r="I1250" s="6" t="s">
        <v>25</v>
      </c>
      <c r="J1250" s="6">
        <v>1</v>
      </c>
      <c r="K1250" s="6">
        <v>0</v>
      </c>
      <c r="L1250" s="6">
        <v>0</v>
      </c>
      <c r="M1250" s="6">
        <v>0</v>
      </c>
      <c r="N1250" s="6">
        <v>0</v>
      </c>
      <c r="O1250" s="6">
        <v>1</v>
      </c>
      <c r="P1250" s="6">
        <f>IF(O1250&gt;0,1,0)</f>
        <v>1</v>
      </c>
      <c r="Q1250" s="6">
        <v>0</v>
      </c>
      <c r="S1250" s="6">
        <v>55.1</v>
      </c>
      <c r="T1250" s="6">
        <f>IF(S1250="",MEDIAN($S$2:$S$1409),S1250)</f>
        <v>55.1</v>
      </c>
    </row>
    <row r="1251" spans="1:20" ht="15" customHeight="1">
      <c r="A1251" s="6" t="s">
        <v>1286</v>
      </c>
      <c r="B1251" s="7">
        <v>45667</v>
      </c>
      <c r="C1251" s="6" t="s">
        <v>727</v>
      </c>
      <c r="D1251" s="6" t="s">
        <v>27</v>
      </c>
      <c r="E1251" s="6" t="s">
        <v>23</v>
      </c>
      <c r="F1251" s="6" t="str">
        <f>IF(E1251="","Unknown",E1251)</f>
        <v>Desktop</v>
      </c>
      <c r="G1251" s="6" t="s">
        <v>45</v>
      </c>
      <c r="H1251" s="6" t="str">
        <f>IF(G1251="","Unknown",G1251)</f>
        <v>Social</v>
      </c>
      <c r="I1251" s="6" t="s">
        <v>30</v>
      </c>
      <c r="J1251" s="6">
        <v>1</v>
      </c>
      <c r="K1251" s="6">
        <v>0</v>
      </c>
      <c r="L1251" s="6">
        <v>0</v>
      </c>
      <c r="M1251" s="6">
        <v>0</v>
      </c>
      <c r="N1251" s="6">
        <v>0</v>
      </c>
      <c r="O1251" s="6">
        <v>0</v>
      </c>
      <c r="P1251" s="6">
        <f>IF(O1251&gt;0,1,0)</f>
        <v>0</v>
      </c>
      <c r="Q1251" s="6">
        <v>0</v>
      </c>
      <c r="S1251" s="6">
        <v>54.6</v>
      </c>
      <c r="T1251" s="6">
        <f>IF(S1251="",MEDIAN($S$2:$S$1409),S1251)</f>
        <v>54.6</v>
      </c>
    </row>
    <row r="1252" spans="1:20" ht="15" customHeight="1">
      <c r="A1252" s="6" t="s">
        <v>1287</v>
      </c>
      <c r="B1252" s="7">
        <v>45689</v>
      </c>
      <c r="C1252" s="6" t="s">
        <v>727</v>
      </c>
      <c r="D1252" s="6" t="s">
        <v>32</v>
      </c>
      <c r="E1252" s="6" t="s">
        <v>28</v>
      </c>
      <c r="F1252" s="6" t="str">
        <f>IF(E1252="","Unknown",E1252)</f>
        <v>Mobile</v>
      </c>
      <c r="G1252" s="6" t="s">
        <v>29</v>
      </c>
      <c r="H1252" s="6" t="str">
        <f>IF(G1252="","Unknown",G1252)</f>
        <v>Organic</v>
      </c>
      <c r="I1252" s="6" t="s">
        <v>25</v>
      </c>
      <c r="J1252" s="6">
        <v>1</v>
      </c>
      <c r="K1252" s="6">
        <v>1</v>
      </c>
      <c r="L1252" s="6">
        <v>1</v>
      </c>
      <c r="M1252" s="6">
        <v>1</v>
      </c>
      <c r="N1252" s="6">
        <v>923.67</v>
      </c>
      <c r="O1252" s="6">
        <v>0</v>
      </c>
      <c r="P1252" s="6">
        <f>IF(O1252&gt;0,1,0)</f>
        <v>0</v>
      </c>
      <c r="Q1252" s="6">
        <v>0</v>
      </c>
      <c r="R1252" s="6">
        <v>4</v>
      </c>
      <c r="S1252" s="6">
        <v>81.900000000000006</v>
      </c>
      <c r="T1252" s="6">
        <f>IF(S1252="",MEDIAN($S$2:$S$1409),S1252)</f>
        <v>81.900000000000006</v>
      </c>
    </row>
    <row r="1253" spans="1:20" ht="15" customHeight="1">
      <c r="A1253" s="6" t="s">
        <v>1288</v>
      </c>
      <c r="B1253" s="7">
        <v>45747</v>
      </c>
      <c r="C1253" s="6" t="s">
        <v>727</v>
      </c>
      <c r="D1253" s="6" t="s">
        <v>36</v>
      </c>
      <c r="E1253" s="6" t="s">
        <v>28</v>
      </c>
      <c r="F1253" s="6" t="str">
        <f>IF(E1253="","Unknown",E1253)</f>
        <v>Mobile</v>
      </c>
      <c r="G1253" s="6" t="s">
        <v>33</v>
      </c>
      <c r="H1253" s="6" t="str">
        <f>IF(G1253="","Unknown",G1253)</f>
        <v>Paid Search</v>
      </c>
      <c r="I1253" s="6" t="s">
        <v>25</v>
      </c>
      <c r="J1253" s="6">
        <v>1</v>
      </c>
      <c r="K1253" s="6">
        <v>1</v>
      </c>
      <c r="L1253" s="6">
        <v>0</v>
      </c>
      <c r="M1253" s="6">
        <v>0</v>
      </c>
      <c r="N1253" s="6">
        <v>0</v>
      </c>
      <c r="O1253" s="6">
        <v>3</v>
      </c>
      <c r="P1253" s="6">
        <f>IF(O1253&gt;0,1,0)</f>
        <v>1</v>
      </c>
      <c r="Q1253" s="6">
        <v>0</v>
      </c>
      <c r="S1253" s="6">
        <v>63.2</v>
      </c>
      <c r="T1253" s="6">
        <f>IF(S1253="",MEDIAN($S$2:$S$1409),S1253)</f>
        <v>63.2</v>
      </c>
    </row>
    <row r="1254" spans="1:20" ht="15" customHeight="1">
      <c r="A1254" s="6" t="s">
        <v>1289</v>
      </c>
      <c r="B1254" s="7">
        <v>45772</v>
      </c>
      <c r="C1254" s="6" t="s">
        <v>727</v>
      </c>
      <c r="D1254" s="6" t="s">
        <v>22</v>
      </c>
      <c r="E1254" s="6" t="s">
        <v>28</v>
      </c>
      <c r="F1254" s="6" t="str">
        <f>IF(E1254="","Unknown",E1254)</f>
        <v>Mobile</v>
      </c>
      <c r="G1254" s="6" t="s">
        <v>33</v>
      </c>
      <c r="H1254" s="6" t="str">
        <f>IF(G1254="","Unknown",G1254)</f>
        <v>Paid Search</v>
      </c>
      <c r="I1254" s="6" t="s">
        <v>30</v>
      </c>
      <c r="J1254" s="6">
        <v>1</v>
      </c>
      <c r="K1254" s="6">
        <v>0</v>
      </c>
      <c r="L1254" s="6">
        <v>0</v>
      </c>
      <c r="M1254" s="6">
        <v>0</v>
      </c>
      <c r="N1254" s="6">
        <v>0</v>
      </c>
      <c r="O1254" s="6">
        <v>0</v>
      </c>
      <c r="P1254" s="6">
        <f>IF(O1254&gt;0,1,0)</f>
        <v>0</v>
      </c>
      <c r="Q1254" s="6">
        <v>0</v>
      </c>
      <c r="S1254" s="6">
        <v>55.4</v>
      </c>
      <c r="T1254" s="6">
        <f>IF(S1254="",MEDIAN($S$2:$S$1409),S1254)</f>
        <v>55.4</v>
      </c>
    </row>
    <row r="1255" spans="1:20" ht="15" customHeight="1">
      <c r="A1255" s="6" t="s">
        <v>1290</v>
      </c>
      <c r="B1255" s="7">
        <v>45779</v>
      </c>
      <c r="C1255" s="6" t="s">
        <v>727</v>
      </c>
      <c r="D1255" s="6" t="s">
        <v>27</v>
      </c>
      <c r="E1255" s="6" t="s">
        <v>28</v>
      </c>
      <c r="F1255" s="6" t="str">
        <f>IF(E1255="","Unknown",E1255)</f>
        <v>Mobile</v>
      </c>
      <c r="G1255" s="6" t="s">
        <v>45</v>
      </c>
      <c r="H1255" s="6" t="str">
        <f>IF(G1255="","Unknown",G1255)</f>
        <v>Social</v>
      </c>
      <c r="I1255" s="6" t="s">
        <v>25</v>
      </c>
      <c r="J1255" s="6">
        <v>0</v>
      </c>
      <c r="K1255" s="6">
        <v>0</v>
      </c>
      <c r="L1255" s="6">
        <v>0</v>
      </c>
      <c r="M1255" s="6">
        <v>0</v>
      </c>
      <c r="N1255" s="6">
        <v>0</v>
      </c>
      <c r="O1255" s="6">
        <v>0</v>
      </c>
      <c r="P1255" s="6">
        <f>IF(O1255&gt;0,1,0)</f>
        <v>0</v>
      </c>
      <c r="Q1255" s="6">
        <v>0</v>
      </c>
      <c r="S1255" s="6">
        <v>87.5</v>
      </c>
      <c r="T1255" s="6">
        <f>IF(S1255="",MEDIAN($S$2:$S$1409),S1255)</f>
        <v>87.5</v>
      </c>
    </row>
    <row r="1256" spans="1:20" ht="15" customHeight="1">
      <c r="A1256" s="6" t="s">
        <v>1291</v>
      </c>
      <c r="B1256" s="7">
        <v>45724</v>
      </c>
      <c r="C1256" s="6" t="s">
        <v>727</v>
      </c>
      <c r="D1256" s="6" t="s">
        <v>36</v>
      </c>
      <c r="E1256" s="6" t="s">
        <v>23</v>
      </c>
      <c r="F1256" s="6" t="str">
        <f>IF(E1256="","Unknown",E1256)</f>
        <v>Desktop</v>
      </c>
      <c r="G1256" s="6" t="s">
        <v>45</v>
      </c>
      <c r="H1256" s="6" t="str">
        <f>IF(G1256="","Unknown",G1256)</f>
        <v>Social</v>
      </c>
      <c r="I1256" s="6" t="s">
        <v>25</v>
      </c>
      <c r="J1256" s="6">
        <v>1</v>
      </c>
      <c r="K1256" s="6"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f>IF(O1256&gt;0,1,0)</f>
        <v>0</v>
      </c>
      <c r="Q1256" s="6">
        <v>0</v>
      </c>
      <c r="S1256" s="6">
        <v>48.5</v>
      </c>
      <c r="T1256" s="6">
        <f>IF(S1256="",MEDIAN($S$2:$S$1409),S1256)</f>
        <v>48.5</v>
      </c>
    </row>
    <row r="1257" spans="1:20" ht="15" customHeight="1">
      <c r="A1257" s="6" t="s">
        <v>1292</v>
      </c>
      <c r="B1257" s="7">
        <v>45684</v>
      </c>
      <c r="C1257" s="6" t="s">
        <v>727</v>
      </c>
      <c r="D1257" s="6" t="s">
        <v>32</v>
      </c>
      <c r="E1257" s="6" t="s">
        <v>23</v>
      </c>
      <c r="F1257" s="6" t="str">
        <f>IF(E1257="","Unknown",E1257)</f>
        <v>Desktop</v>
      </c>
      <c r="G1257" s="6"/>
      <c r="H1257" s="6" t="str">
        <f>IF(G1257="","Unknown",G1257)</f>
        <v>Unknown</v>
      </c>
      <c r="I1257" s="6" t="s">
        <v>30</v>
      </c>
      <c r="J1257" s="6">
        <v>1</v>
      </c>
      <c r="K1257" s="6">
        <v>1</v>
      </c>
      <c r="L1257" s="6">
        <v>1</v>
      </c>
      <c r="M1257" s="6">
        <v>1</v>
      </c>
      <c r="N1257" s="6">
        <v>420.27</v>
      </c>
      <c r="O1257" s="6">
        <v>0</v>
      </c>
      <c r="P1257" s="6">
        <f>IF(O1257&gt;0,1,0)</f>
        <v>0</v>
      </c>
      <c r="Q1257" s="6">
        <v>0</v>
      </c>
      <c r="R1257" s="6">
        <v>6</v>
      </c>
      <c r="S1257" s="6">
        <v>58.4</v>
      </c>
      <c r="T1257" s="6">
        <f>IF(S1257="",MEDIAN($S$2:$S$1409),S1257)</f>
        <v>58.4</v>
      </c>
    </row>
    <row r="1258" spans="1:20" ht="15" customHeight="1">
      <c r="A1258" s="6" t="s">
        <v>1293</v>
      </c>
      <c r="B1258" s="7">
        <v>45774</v>
      </c>
      <c r="C1258" s="6" t="s">
        <v>727</v>
      </c>
      <c r="D1258" s="6" t="s">
        <v>27</v>
      </c>
      <c r="E1258" s="6" t="s">
        <v>28</v>
      </c>
      <c r="F1258" s="6" t="str">
        <f>IF(E1258="","Unknown",E1258)</f>
        <v>Mobile</v>
      </c>
      <c r="G1258" s="6" t="s">
        <v>33</v>
      </c>
      <c r="H1258" s="6" t="str">
        <f>IF(G1258="","Unknown",G1258)</f>
        <v>Paid Search</v>
      </c>
      <c r="I1258" s="6" t="s">
        <v>30</v>
      </c>
      <c r="J1258" s="6">
        <v>0</v>
      </c>
      <c r="K1258" s="6">
        <v>0</v>
      </c>
      <c r="L1258" s="6">
        <v>0</v>
      </c>
      <c r="M1258" s="6">
        <v>0</v>
      </c>
      <c r="N1258" s="6">
        <v>0</v>
      </c>
      <c r="O1258" s="6">
        <v>0</v>
      </c>
      <c r="P1258" s="6">
        <f>IF(O1258&gt;0,1,0)</f>
        <v>0</v>
      </c>
      <c r="Q1258" s="6">
        <v>0</v>
      </c>
      <c r="S1258" s="6">
        <v>59.5</v>
      </c>
      <c r="T1258" s="6">
        <f>IF(S1258="",MEDIAN($S$2:$S$1409),S1258)</f>
        <v>59.5</v>
      </c>
    </row>
    <row r="1259" spans="1:20" ht="15" customHeight="1">
      <c r="A1259" s="6" t="s">
        <v>1294</v>
      </c>
      <c r="B1259" s="7">
        <v>45673</v>
      </c>
      <c r="C1259" s="6" t="s">
        <v>727</v>
      </c>
      <c r="D1259" s="6" t="s">
        <v>27</v>
      </c>
      <c r="E1259" s="6" t="s">
        <v>23</v>
      </c>
      <c r="F1259" s="6" t="str">
        <f>IF(E1259="","Unknown",E1259)</f>
        <v>Desktop</v>
      </c>
      <c r="G1259" s="6" t="s">
        <v>33</v>
      </c>
      <c r="H1259" s="6" t="str">
        <f>IF(G1259="","Unknown",G1259)</f>
        <v>Paid Search</v>
      </c>
      <c r="I1259" s="6" t="s">
        <v>25</v>
      </c>
      <c r="J1259" s="6">
        <v>1</v>
      </c>
      <c r="K1259" s="6">
        <v>0</v>
      </c>
      <c r="L1259" s="6">
        <v>0</v>
      </c>
      <c r="M1259" s="6">
        <v>0</v>
      </c>
      <c r="N1259" s="6">
        <v>0</v>
      </c>
      <c r="O1259" s="6">
        <v>0</v>
      </c>
      <c r="P1259" s="6">
        <f>IF(O1259&gt;0,1,0)</f>
        <v>0</v>
      </c>
      <c r="Q1259" s="6">
        <v>0</v>
      </c>
      <c r="S1259" s="6">
        <v>93.2</v>
      </c>
      <c r="T1259" s="6">
        <f>IF(S1259="",MEDIAN($S$2:$S$1409),S1259)</f>
        <v>93.2</v>
      </c>
    </row>
    <row r="1260" spans="1:20" ht="15" customHeight="1">
      <c r="A1260" s="6" t="s">
        <v>1295</v>
      </c>
      <c r="B1260" s="7">
        <v>45675</v>
      </c>
      <c r="C1260" s="6" t="s">
        <v>727</v>
      </c>
      <c r="D1260" s="6" t="s">
        <v>27</v>
      </c>
      <c r="E1260" s="6" t="s">
        <v>23</v>
      </c>
      <c r="F1260" s="6" t="str">
        <f>IF(E1260="","Unknown",E1260)</f>
        <v>Desktop</v>
      </c>
      <c r="G1260" s="6" t="s">
        <v>33</v>
      </c>
      <c r="H1260" s="6" t="str">
        <f>IF(G1260="","Unknown",G1260)</f>
        <v>Paid Search</v>
      </c>
      <c r="I1260" s="6" t="s">
        <v>25</v>
      </c>
      <c r="J1260" s="6">
        <v>1</v>
      </c>
      <c r="K1260" s="6"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f>IF(O1260&gt;0,1,0)</f>
        <v>0</v>
      </c>
      <c r="Q1260" s="6">
        <v>0</v>
      </c>
      <c r="S1260" s="6">
        <v>59</v>
      </c>
      <c r="T1260" s="6">
        <f>IF(S1260="",MEDIAN($S$2:$S$1409),S1260)</f>
        <v>59</v>
      </c>
    </row>
    <row r="1261" spans="1:20" ht="15" customHeight="1">
      <c r="A1261" s="6" t="s">
        <v>1296</v>
      </c>
      <c r="B1261" s="7">
        <v>45737</v>
      </c>
      <c r="C1261" s="6" t="s">
        <v>727</v>
      </c>
      <c r="D1261" s="6" t="s">
        <v>22</v>
      </c>
      <c r="E1261" s="6" t="s">
        <v>28</v>
      </c>
      <c r="F1261" s="6" t="str">
        <f>IF(E1261="","Unknown",E1261)</f>
        <v>Mobile</v>
      </c>
      <c r="G1261" s="6" t="s">
        <v>29</v>
      </c>
      <c r="H1261" s="6" t="str">
        <f>IF(G1261="","Unknown",G1261)</f>
        <v>Organic</v>
      </c>
      <c r="I1261" s="6" t="s">
        <v>30</v>
      </c>
      <c r="J1261" s="6">
        <v>1</v>
      </c>
      <c r="K1261" s="6">
        <v>0</v>
      </c>
      <c r="L1261" s="6">
        <v>0</v>
      </c>
      <c r="M1261" s="6">
        <v>0</v>
      </c>
      <c r="N1261" s="6">
        <v>0</v>
      </c>
      <c r="O1261" s="6">
        <v>0</v>
      </c>
      <c r="P1261" s="6">
        <f>IF(O1261&gt;0,1,0)</f>
        <v>0</v>
      </c>
      <c r="Q1261" s="6">
        <v>0</v>
      </c>
      <c r="S1261" s="6">
        <v>37</v>
      </c>
      <c r="T1261" s="6">
        <f>IF(S1261="",MEDIAN($S$2:$S$1409),S1261)</f>
        <v>37</v>
      </c>
    </row>
    <row r="1262" spans="1:20" ht="15" customHeight="1">
      <c r="A1262" s="6" t="s">
        <v>1297</v>
      </c>
      <c r="B1262" s="7">
        <v>45749</v>
      </c>
      <c r="C1262" s="6" t="s">
        <v>727</v>
      </c>
      <c r="D1262" s="6" t="s">
        <v>22</v>
      </c>
      <c r="E1262" s="6" t="s">
        <v>23</v>
      </c>
      <c r="F1262" s="6" t="str">
        <f>IF(E1262="","Unknown",E1262)</f>
        <v>Desktop</v>
      </c>
      <c r="G1262" s="6" t="s">
        <v>33</v>
      </c>
      <c r="H1262" s="6" t="str">
        <f>IF(G1262="","Unknown",G1262)</f>
        <v>Paid Search</v>
      </c>
      <c r="I1262" s="6" t="s">
        <v>30</v>
      </c>
      <c r="J1262" s="6">
        <v>1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f>IF(O1262&gt;0,1,0)</f>
        <v>0</v>
      </c>
      <c r="Q1262" s="6">
        <v>0</v>
      </c>
      <c r="S1262" s="6">
        <v>47.5</v>
      </c>
      <c r="T1262" s="6">
        <f>IF(S1262="",MEDIAN($S$2:$S$1409),S1262)</f>
        <v>47.5</v>
      </c>
    </row>
    <row r="1263" spans="1:20" ht="15" customHeight="1">
      <c r="A1263" s="6" t="s">
        <v>1298</v>
      </c>
      <c r="B1263" s="7">
        <v>45704</v>
      </c>
      <c r="C1263" s="6" t="s">
        <v>727</v>
      </c>
      <c r="D1263" s="6" t="s">
        <v>27</v>
      </c>
      <c r="E1263" s="6" t="s">
        <v>23</v>
      </c>
      <c r="F1263" s="6" t="str">
        <f>IF(E1263="","Unknown",E1263)</f>
        <v>Desktop</v>
      </c>
      <c r="G1263" s="6" t="s">
        <v>29</v>
      </c>
      <c r="H1263" s="6" t="str">
        <f>IF(G1263="","Unknown",G1263)</f>
        <v>Organic</v>
      </c>
      <c r="I1263" s="6" t="s">
        <v>30</v>
      </c>
      <c r="J1263" s="6">
        <v>1</v>
      </c>
      <c r="K1263" s="6">
        <v>1</v>
      </c>
      <c r="L1263" s="6">
        <v>1</v>
      </c>
      <c r="M1263" s="6">
        <v>0</v>
      </c>
      <c r="N1263" s="6">
        <v>0</v>
      </c>
      <c r="O1263" s="6">
        <v>0</v>
      </c>
      <c r="P1263" s="6">
        <f>IF(O1263&gt;0,1,0)</f>
        <v>0</v>
      </c>
      <c r="Q1263" s="6">
        <v>0</v>
      </c>
      <c r="S1263" s="6">
        <v>78.7</v>
      </c>
      <c r="T1263" s="6">
        <f>IF(S1263="",MEDIAN($S$2:$S$1409),S1263)</f>
        <v>78.7</v>
      </c>
    </row>
    <row r="1264" spans="1:20" ht="15" customHeight="1">
      <c r="A1264" s="6" t="s">
        <v>1299</v>
      </c>
      <c r="B1264" s="7">
        <v>45706</v>
      </c>
      <c r="C1264" s="6" t="s">
        <v>727</v>
      </c>
      <c r="D1264" s="6" t="s">
        <v>22</v>
      </c>
      <c r="E1264" s="6" t="s">
        <v>28</v>
      </c>
      <c r="F1264" s="6" t="str">
        <f>IF(E1264="","Unknown",E1264)</f>
        <v>Mobile</v>
      </c>
      <c r="G1264" s="6" t="s">
        <v>45</v>
      </c>
      <c r="H1264" s="6" t="str">
        <f>IF(G1264="","Unknown",G1264)</f>
        <v>Social</v>
      </c>
      <c r="I1264" s="6" t="s">
        <v>30</v>
      </c>
      <c r="J1264" s="6">
        <v>1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f>IF(O1264&gt;0,1,0)</f>
        <v>0</v>
      </c>
      <c r="Q1264" s="6">
        <v>0</v>
      </c>
      <c r="S1264" s="6">
        <v>49.6</v>
      </c>
      <c r="T1264" s="6">
        <f>IF(S1264="",MEDIAN($S$2:$S$1409),S1264)</f>
        <v>49.6</v>
      </c>
    </row>
    <row r="1265" spans="1:20" ht="15" customHeight="1">
      <c r="A1265" s="6" t="s">
        <v>1300</v>
      </c>
      <c r="B1265" s="7">
        <v>45666</v>
      </c>
      <c r="C1265" s="6" t="s">
        <v>727</v>
      </c>
      <c r="D1265" s="6" t="s">
        <v>32</v>
      </c>
      <c r="E1265" s="6" t="s">
        <v>28</v>
      </c>
      <c r="F1265" s="6" t="str">
        <f>IF(E1265="","Unknown",E1265)</f>
        <v>Mobile</v>
      </c>
      <c r="G1265" s="6" t="s">
        <v>29</v>
      </c>
      <c r="H1265" s="6" t="str">
        <f>IF(G1265="","Unknown",G1265)</f>
        <v>Organic</v>
      </c>
      <c r="I1265" s="6" t="s">
        <v>30</v>
      </c>
      <c r="J1265" s="6">
        <v>1</v>
      </c>
      <c r="K1265" s="6">
        <v>0</v>
      </c>
      <c r="L1265" s="6">
        <v>0</v>
      </c>
      <c r="M1265" s="6">
        <v>0</v>
      </c>
      <c r="N1265" s="6">
        <v>0</v>
      </c>
      <c r="O1265" s="6">
        <v>0</v>
      </c>
      <c r="P1265" s="6">
        <f>IF(O1265&gt;0,1,0)</f>
        <v>0</v>
      </c>
      <c r="Q1265" s="6">
        <v>0</v>
      </c>
      <c r="S1265" s="6">
        <v>58</v>
      </c>
      <c r="T1265" s="6">
        <f>IF(S1265="",MEDIAN($S$2:$S$1409),S1265)</f>
        <v>58</v>
      </c>
    </row>
    <row r="1266" spans="1:20" ht="15" customHeight="1">
      <c r="A1266" s="6" t="s">
        <v>1301</v>
      </c>
      <c r="B1266" s="7">
        <v>45706</v>
      </c>
      <c r="C1266" s="6" t="s">
        <v>727</v>
      </c>
      <c r="D1266" s="6" t="s">
        <v>22</v>
      </c>
      <c r="E1266" s="6" t="s">
        <v>23</v>
      </c>
      <c r="F1266" s="6" t="str">
        <f>IF(E1266="","Unknown",E1266)</f>
        <v>Desktop</v>
      </c>
      <c r="G1266" s="6" t="s">
        <v>33</v>
      </c>
      <c r="H1266" s="6" t="str">
        <f>IF(G1266="","Unknown",G1266)</f>
        <v>Paid Search</v>
      </c>
      <c r="I1266" s="6" t="s">
        <v>30</v>
      </c>
      <c r="J1266" s="6">
        <v>1</v>
      </c>
      <c r="K1266" s="6">
        <v>0</v>
      </c>
      <c r="L1266" s="6">
        <v>0</v>
      </c>
      <c r="M1266" s="6">
        <v>0</v>
      </c>
      <c r="N1266" s="6">
        <v>0</v>
      </c>
      <c r="O1266" s="6">
        <v>1</v>
      </c>
      <c r="P1266" s="6">
        <f>IF(O1266&gt;0,1,0)</f>
        <v>1</v>
      </c>
      <c r="Q1266" s="6">
        <v>0</v>
      </c>
      <c r="S1266" s="6">
        <v>54.4</v>
      </c>
      <c r="T1266" s="6">
        <f>IF(S1266="",MEDIAN($S$2:$S$1409),S1266)</f>
        <v>54.4</v>
      </c>
    </row>
    <row r="1267" spans="1:20" ht="15" customHeight="1">
      <c r="A1267" s="6" t="s">
        <v>1302</v>
      </c>
      <c r="B1267" s="7">
        <v>45667</v>
      </c>
      <c r="C1267" s="6" t="s">
        <v>727</v>
      </c>
      <c r="D1267" s="6" t="s">
        <v>32</v>
      </c>
      <c r="E1267" s="6" t="s">
        <v>28</v>
      </c>
      <c r="F1267" s="6" t="str">
        <f>IF(E1267="","Unknown",E1267)</f>
        <v>Mobile</v>
      </c>
      <c r="G1267" s="6" t="s">
        <v>43</v>
      </c>
      <c r="H1267" s="6" t="str">
        <f>IF(G1267="","Unknown",G1267)</f>
        <v>Referral</v>
      </c>
      <c r="I1267" s="6" t="s">
        <v>30</v>
      </c>
      <c r="J1267" s="6">
        <v>0</v>
      </c>
      <c r="K1267" s="6">
        <v>0</v>
      </c>
      <c r="L1267" s="6">
        <v>0</v>
      </c>
      <c r="M1267" s="6">
        <v>0</v>
      </c>
      <c r="N1267" s="6">
        <v>0</v>
      </c>
      <c r="O1267" s="6">
        <v>0</v>
      </c>
      <c r="P1267" s="6">
        <f>IF(O1267&gt;0,1,0)</f>
        <v>0</v>
      </c>
      <c r="Q1267" s="6">
        <v>0</v>
      </c>
      <c r="S1267" s="6">
        <v>33.700000000000003</v>
      </c>
      <c r="T1267" s="6">
        <f>IF(S1267="",MEDIAN($S$2:$S$1409),S1267)</f>
        <v>33.700000000000003</v>
      </c>
    </row>
    <row r="1268" spans="1:20" ht="15" customHeight="1">
      <c r="A1268" s="6" t="s">
        <v>1303</v>
      </c>
      <c r="B1268" s="7">
        <v>45724</v>
      </c>
      <c r="C1268" s="6" t="s">
        <v>727</v>
      </c>
      <c r="D1268" s="6" t="s">
        <v>27</v>
      </c>
      <c r="E1268" s="6" t="s">
        <v>28</v>
      </c>
      <c r="F1268" s="6" t="str">
        <f>IF(E1268="","Unknown",E1268)</f>
        <v>Mobile</v>
      </c>
      <c r="G1268" s="6" t="s">
        <v>24</v>
      </c>
      <c r="H1268" s="6" t="str">
        <f>IF(G1268="","Unknown",G1268)</f>
        <v>Email</v>
      </c>
      <c r="I1268" s="6" t="s">
        <v>30</v>
      </c>
      <c r="J1268" s="6">
        <v>1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f>IF(O1268&gt;0,1,0)</f>
        <v>0</v>
      </c>
      <c r="Q1268" s="6">
        <v>0</v>
      </c>
      <c r="S1268" s="6">
        <v>72.7</v>
      </c>
      <c r="T1268" s="6">
        <f>IF(S1268="",MEDIAN($S$2:$S$1409),S1268)</f>
        <v>72.7</v>
      </c>
    </row>
    <row r="1269" spans="1:20" ht="15" customHeight="1">
      <c r="A1269" s="6" t="s">
        <v>1304</v>
      </c>
      <c r="B1269" s="7">
        <v>45763</v>
      </c>
      <c r="C1269" s="6" t="s">
        <v>727</v>
      </c>
      <c r="D1269" s="6" t="s">
        <v>32</v>
      </c>
      <c r="E1269" s="6" t="s">
        <v>23</v>
      </c>
      <c r="F1269" s="6" t="str">
        <f>IF(E1269="","Unknown",E1269)</f>
        <v>Desktop</v>
      </c>
      <c r="G1269" s="6" t="s">
        <v>33</v>
      </c>
      <c r="H1269" s="6" t="str">
        <f>IF(G1269="","Unknown",G1269)</f>
        <v>Paid Search</v>
      </c>
      <c r="I1269" s="6" t="s">
        <v>25</v>
      </c>
      <c r="J1269" s="6">
        <v>0</v>
      </c>
      <c r="K1269" s="6">
        <v>0</v>
      </c>
      <c r="L1269" s="6">
        <v>0</v>
      </c>
      <c r="M1269" s="6">
        <v>0</v>
      </c>
      <c r="N1269" s="6">
        <v>0</v>
      </c>
      <c r="O1269" s="6">
        <v>0</v>
      </c>
      <c r="P1269" s="6">
        <f>IF(O1269&gt;0,1,0)</f>
        <v>0</v>
      </c>
      <c r="Q1269" s="6">
        <v>0</v>
      </c>
      <c r="S1269" s="6">
        <v>64.7</v>
      </c>
      <c r="T1269" s="6">
        <f>IF(S1269="",MEDIAN($S$2:$S$1409),S1269)</f>
        <v>64.7</v>
      </c>
    </row>
    <row r="1270" spans="1:20" ht="15" customHeight="1">
      <c r="A1270" s="6" t="s">
        <v>1305</v>
      </c>
      <c r="B1270" s="7">
        <v>45707</v>
      </c>
      <c r="C1270" s="6" t="s">
        <v>727</v>
      </c>
      <c r="D1270" s="6" t="s">
        <v>27</v>
      </c>
      <c r="E1270" s="6" t="s">
        <v>23</v>
      </c>
      <c r="F1270" s="6" t="str">
        <f>IF(E1270="","Unknown",E1270)</f>
        <v>Desktop</v>
      </c>
      <c r="G1270" s="6" t="s">
        <v>33</v>
      </c>
      <c r="H1270" s="6" t="str">
        <f>IF(G1270="","Unknown",G1270)</f>
        <v>Paid Search</v>
      </c>
      <c r="I1270" s="6" t="s">
        <v>34</v>
      </c>
      <c r="J1270" s="6">
        <v>0</v>
      </c>
      <c r="K1270" s="6">
        <v>0</v>
      </c>
      <c r="L1270" s="6">
        <v>0</v>
      </c>
      <c r="M1270" s="6">
        <v>0</v>
      </c>
      <c r="N1270" s="6">
        <v>0</v>
      </c>
      <c r="O1270" s="6">
        <v>1</v>
      </c>
      <c r="P1270" s="6">
        <f>IF(O1270&gt;0,1,0)</f>
        <v>1</v>
      </c>
      <c r="Q1270" s="6">
        <v>0</v>
      </c>
      <c r="S1270" s="6">
        <v>48.6</v>
      </c>
      <c r="T1270" s="6">
        <f>IF(S1270="",MEDIAN($S$2:$S$1409),S1270)</f>
        <v>48.6</v>
      </c>
    </row>
    <row r="1271" spans="1:20" ht="15" customHeight="1">
      <c r="A1271" s="6" t="s">
        <v>1306</v>
      </c>
      <c r="B1271" s="7">
        <v>45732</v>
      </c>
      <c r="C1271" s="6" t="s">
        <v>727</v>
      </c>
      <c r="D1271" s="6" t="s">
        <v>32</v>
      </c>
      <c r="E1271" s="6" t="s">
        <v>23</v>
      </c>
      <c r="F1271" s="6" t="str">
        <f>IF(E1271="","Unknown",E1271)</f>
        <v>Desktop</v>
      </c>
      <c r="G1271" s="6" t="s">
        <v>45</v>
      </c>
      <c r="H1271" s="6" t="str">
        <f>IF(G1271="","Unknown",G1271)</f>
        <v>Social</v>
      </c>
      <c r="I1271" s="6" t="s">
        <v>30</v>
      </c>
      <c r="J1271" s="6">
        <v>1</v>
      </c>
      <c r="K1271" s="6">
        <v>1</v>
      </c>
      <c r="L1271" s="6">
        <v>0</v>
      </c>
      <c r="M1271" s="6">
        <v>0</v>
      </c>
      <c r="N1271" s="6">
        <v>0</v>
      </c>
      <c r="O1271" s="6">
        <v>0</v>
      </c>
      <c r="P1271" s="6">
        <f>IF(O1271&gt;0,1,0)</f>
        <v>0</v>
      </c>
      <c r="Q1271" s="6">
        <v>0</v>
      </c>
      <c r="S1271" s="6">
        <v>66.2</v>
      </c>
      <c r="T1271" s="6">
        <f>IF(S1271="",MEDIAN($S$2:$S$1409),S1271)</f>
        <v>66.2</v>
      </c>
    </row>
    <row r="1272" spans="1:20" ht="15" customHeight="1">
      <c r="A1272" s="6" t="s">
        <v>1307</v>
      </c>
      <c r="B1272" s="7">
        <v>45691</v>
      </c>
      <c r="C1272" s="6" t="s">
        <v>727</v>
      </c>
      <c r="D1272" s="6" t="s">
        <v>27</v>
      </c>
      <c r="E1272" s="6"/>
      <c r="F1272" s="6" t="str">
        <f>IF(E1272="","Unknown",E1272)</f>
        <v>Unknown</v>
      </c>
      <c r="G1272" s="6" t="s">
        <v>43</v>
      </c>
      <c r="H1272" s="6" t="str">
        <f>IF(G1272="","Unknown",G1272)</f>
        <v>Referral</v>
      </c>
      <c r="I1272" s="6" t="s">
        <v>25</v>
      </c>
      <c r="J1272" s="6">
        <v>1</v>
      </c>
      <c r="K1272" s="6">
        <v>0</v>
      </c>
      <c r="L1272" s="6">
        <v>0</v>
      </c>
      <c r="M1272" s="6">
        <v>0</v>
      </c>
      <c r="N1272" s="6">
        <v>0</v>
      </c>
      <c r="O1272" s="6">
        <v>1</v>
      </c>
      <c r="P1272" s="6">
        <f>IF(O1272&gt;0,1,0)</f>
        <v>1</v>
      </c>
      <c r="Q1272" s="6">
        <v>0</v>
      </c>
      <c r="S1272" s="6">
        <v>60.7</v>
      </c>
      <c r="T1272" s="6">
        <f>IF(S1272="",MEDIAN($S$2:$S$1409),S1272)</f>
        <v>60.7</v>
      </c>
    </row>
    <row r="1273" spans="1:20" ht="15" customHeight="1">
      <c r="A1273" s="6" t="s">
        <v>1308</v>
      </c>
      <c r="B1273" s="7">
        <v>45728</v>
      </c>
      <c r="C1273" s="6" t="s">
        <v>727</v>
      </c>
      <c r="D1273" s="6" t="s">
        <v>27</v>
      </c>
      <c r="E1273" s="6" t="s">
        <v>28</v>
      </c>
      <c r="F1273" s="6" t="str">
        <f>IF(E1273="","Unknown",E1273)</f>
        <v>Mobile</v>
      </c>
      <c r="G1273" s="6" t="s">
        <v>33</v>
      </c>
      <c r="H1273" s="6" t="str">
        <f>IF(G1273="","Unknown",G1273)</f>
        <v>Paid Search</v>
      </c>
      <c r="I1273" s="6" t="s">
        <v>25</v>
      </c>
      <c r="J1273" s="6">
        <v>1</v>
      </c>
      <c r="K1273" s="6">
        <v>0</v>
      </c>
      <c r="L1273" s="6">
        <v>0</v>
      </c>
      <c r="M1273" s="6">
        <v>0</v>
      </c>
      <c r="N1273" s="6">
        <v>0</v>
      </c>
      <c r="O1273" s="6">
        <v>0</v>
      </c>
      <c r="P1273" s="6">
        <f>IF(O1273&gt;0,1,0)</f>
        <v>0</v>
      </c>
      <c r="Q1273" s="6">
        <v>0</v>
      </c>
      <c r="S1273" s="6">
        <v>36.5</v>
      </c>
      <c r="T1273" s="6">
        <f>IF(S1273="",MEDIAN($S$2:$S$1409),S1273)</f>
        <v>36.5</v>
      </c>
    </row>
    <row r="1274" spans="1:20" ht="15" customHeight="1">
      <c r="A1274" s="6" t="s">
        <v>1309</v>
      </c>
      <c r="B1274" s="7">
        <v>45786</v>
      </c>
      <c r="C1274" s="6" t="s">
        <v>727</v>
      </c>
      <c r="D1274" s="6" t="s">
        <v>27</v>
      </c>
      <c r="E1274" s="6" t="s">
        <v>28</v>
      </c>
      <c r="F1274" s="6" t="str">
        <f>IF(E1274="","Unknown",E1274)</f>
        <v>Mobile</v>
      </c>
      <c r="G1274" s="6" t="s">
        <v>45</v>
      </c>
      <c r="H1274" s="6" t="str">
        <f>IF(G1274="","Unknown",G1274)</f>
        <v>Social</v>
      </c>
      <c r="I1274" s="6" t="s">
        <v>30</v>
      </c>
      <c r="J1274" s="6">
        <v>1</v>
      </c>
      <c r="K1274" s="6">
        <v>1</v>
      </c>
      <c r="L1274" s="6">
        <v>1</v>
      </c>
      <c r="M1274" s="6">
        <v>0</v>
      </c>
      <c r="N1274" s="6">
        <v>0</v>
      </c>
      <c r="O1274" s="6">
        <v>3</v>
      </c>
      <c r="P1274" s="6">
        <f>IF(O1274&gt;0,1,0)</f>
        <v>1</v>
      </c>
      <c r="Q1274" s="6">
        <v>0</v>
      </c>
      <c r="S1274" s="6">
        <v>69.7</v>
      </c>
      <c r="T1274" s="6">
        <f>IF(S1274="",MEDIAN($S$2:$S$1409),S1274)</f>
        <v>69.7</v>
      </c>
    </row>
    <row r="1275" spans="1:20" ht="15" customHeight="1">
      <c r="A1275" s="6" t="s">
        <v>1310</v>
      </c>
      <c r="B1275" s="7">
        <v>45676</v>
      </c>
      <c r="C1275" s="6" t="s">
        <v>727</v>
      </c>
      <c r="D1275" s="6" t="s">
        <v>36</v>
      </c>
      <c r="E1275" s="6" t="s">
        <v>23</v>
      </c>
      <c r="F1275" s="6" t="str">
        <f>IF(E1275="","Unknown",E1275)</f>
        <v>Desktop</v>
      </c>
      <c r="G1275" s="6" t="s">
        <v>45</v>
      </c>
      <c r="H1275" s="6" t="str">
        <f>IF(G1275="","Unknown",G1275)</f>
        <v>Social</v>
      </c>
      <c r="I1275" s="6" t="s">
        <v>34</v>
      </c>
      <c r="J1275" s="6">
        <v>1</v>
      </c>
      <c r="K1275" s="6">
        <v>0</v>
      </c>
      <c r="L1275" s="6">
        <v>0</v>
      </c>
      <c r="M1275" s="6">
        <v>0</v>
      </c>
      <c r="N1275" s="6">
        <v>0</v>
      </c>
      <c r="O1275" s="6">
        <v>0</v>
      </c>
      <c r="P1275" s="6">
        <f>IF(O1275&gt;0,1,0)</f>
        <v>0</v>
      </c>
      <c r="Q1275" s="6">
        <v>0</v>
      </c>
      <c r="S1275" s="6">
        <v>81.8</v>
      </c>
      <c r="T1275" s="6">
        <f>IF(S1275="",MEDIAN($S$2:$S$1409),S1275)</f>
        <v>81.8</v>
      </c>
    </row>
    <row r="1276" spans="1:20" ht="15" customHeight="1">
      <c r="A1276" s="6" t="s">
        <v>1311</v>
      </c>
      <c r="B1276" s="7">
        <v>45681</v>
      </c>
      <c r="C1276" s="6" t="s">
        <v>727</v>
      </c>
      <c r="D1276" s="6" t="s">
        <v>27</v>
      </c>
      <c r="E1276" s="6" t="s">
        <v>28</v>
      </c>
      <c r="F1276" s="6" t="str">
        <f>IF(E1276="","Unknown",E1276)</f>
        <v>Mobile</v>
      </c>
      <c r="G1276" s="6" t="s">
        <v>43</v>
      </c>
      <c r="H1276" s="6" t="str">
        <f>IF(G1276="","Unknown",G1276)</f>
        <v>Referral</v>
      </c>
      <c r="I1276" s="6" t="s">
        <v>30</v>
      </c>
      <c r="J1276" s="6">
        <v>1</v>
      </c>
      <c r="K1276" s="6">
        <v>1</v>
      </c>
      <c r="L1276" s="6">
        <v>1</v>
      </c>
      <c r="M1276" s="6">
        <v>0</v>
      </c>
      <c r="N1276" s="6">
        <v>0</v>
      </c>
      <c r="O1276" s="6">
        <v>1</v>
      </c>
      <c r="P1276" s="6">
        <f>IF(O1276&gt;0,1,0)</f>
        <v>1</v>
      </c>
      <c r="Q1276" s="6">
        <v>0</v>
      </c>
      <c r="S1276" s="6">
        <v>78.3</v>
      </c>
      <c r="T1276" s="6">
        <f>IF(S1276="",MEDIAN($S$2:$S$1409),S1276)</f>
        <v>78.3</v>
      </c>
    </row>
    <row r="1277" spans="1:20" ht="15" customHeight="1">
      <c r="A1277" s="6" t="s">
        <v>1312</v>
      </c>
      <c r="B1277" s="7">
        <v>45719</v>
      </c>
      <c r="C1277" s="6" t="s">
        <v>727</v>
      </c>
      <c r="D1277" s="6" t="s">
        <v>32</v>
      </c>
      <c r="E1277" s="6" t="s">
        <v>28</v>
      </c>
      <c r="F1277" s="6" t="str">
        <f>IF(E1277="","Unknown",E1277)</f>
        <v>Mobile</v>
      </c>
      <c r="G1277" s="6" t="s">
        <v>43</v>
      </c>
      <c r="H1277" s="6" t="str">
        <f>IF(G1277="","Unknown",G1277)</f>
        <v>Referral</v>
      </c>
      <c r="I1277" s="6" t="s">
        <v>30</v>
      </c>
      <c r="J1277" s="6">
        <v>1</v>
      </c>
      <c r="K1277" s="6">
        <v>1</v>
      </c>
      <c r="L1277" s="6">
        <v>0</v>
      </c>
      <c r="M1277" s="6">
        <v>0</v>
      </c>
      <c r="N1277" s="6">
        <v>0</v>
      </c>
      <c r="O1277" s="6">
        <v>0</v>
      </c>
      <c r="P1277" s="6">
        <f>IF(O1277&gt;0,1,0)</f>
        <v>0</v>
      </c>
      <c r="Q1277" s="6">
        <v>0</v>
      </c>
      <c r="S1277" s="6">
        <v>79.400000000000006</v>
      </c>
      <c r="T1277" s="6">
        <f>IF(S1277="",MEDIAN($S$2:$S$1409),S1277)</f>
        <v>79.400000000000006</v>
      </c>
    </row>
    <row r="1278" spans="1:20" ht="15" customHeight="1">
      <c r="A1278" s="6" t="s">
        <v>1313</v>
      </c>
      <c r="B1278" s="7">
        <v>45804</v>
      </c>
      <c r="C1278" s="6" t="s">
        <v>727</v>
      </c>
      <c r="D1278" s="6" t="s">
        <v>22</v>
      </c>
      <c r="E1278" s="6" t="s">
        <v>23</v>
      </c>
      <c r="F1278" s="6" t="str">
        <f>IF(E1278="","Unknown",E1278)</f>
        <v>Desktop</v>
      </c>
      <c r="G1278" s="6" t="s">
        <v>43</v>
      </c>
      <c r="H1278" s="6" t="str">
        <f>IF(G1278="","Unknown",G1278)</f>
        <v>Referral</v>
      </c>
      <c r="I1278" s="6" t="s">
        <v>30</v>
      </c>
      <c r="J1278" s="6">
        <v>1</v>
      </c>
      <c r="K1278" s="6">
        <v>1</v>
      </c>
      <c r="L1278" s="6">
        <v>1</v>
      </c>
      <c r="M1278" s="6">
        <v>0</v>
      </c>
      <c r="N1278" s="6">
        <v>0</v>
      </c>
      <c r="O1278" s="6">
        <v>0</v>
      </c>
      <c r="P1278" s="6">
        <f>IF(O1278&gt;0,1,0)</f>
        <v>0</v>
      </c>
      <c r="Q1278" s="6">
        <v>0</v>
      </c>
      <c r="S1278" s="6">
        <v>54.9</v>
      </c>
      <c r="T1278" s="6">
        <f>IF(S1278="",MEDIAN($S$2:$S$1409),S1278)</f>
        <v>54.9</v>
      </c>
    </row>
    <row r="1279" spans="1:20" ht="15" customHeight="1">
      <c r="A1279" s="6" t="s">
        <v>1314</v>
      </c>
      <c r="B1279" s="7">
        <v>45770</v>
      </c>
      <c r="C1279" s="6" t="s">
        <v>727</v>
      </c>
      <c r="D1279" s="6" t="s">
        <v>27</v>
      </c>
      <c r="E1279" s="6" t="s">
        <v>23</v>
      </c>
      <c r="F1279" s="6" t="str">
        <f>IF(E1279="","Unknown",E1279)</f>
        <v>Desktop</v>
      </c>
      <c r="G1279" s="6" t="s">
        <v>29</v>
      </c>
      <c r="H1279" s="6" t="str">
        <f>IF(G1279="","Unknown",G1279)</f>
        <v>Organic</v>
      </c>
      <c r="I1279" s="6" t="s">
        <v>25</v>
      </c>
      <c r="J1279" s="6">
        <v>1</v>
      </c>
      <c r="K1279" s="6">
        <v>0</v>
      </c>
      <c r="L1279" s="6">
        <v>0</v>
      </c>
      <c r="M1279" s="6">
        <v>0</v>
      </c>
      <c r="N1279" s="6">
        <v>0</v>
      </c>
      <c r="O1279" s="6">
        <v>0</v>
      </c>
      <c r="P1279" s="6">
        <f>IF(O1279&gt;0,1,0)</f>
        <v>0</v>
      </c>
      <c r="Q1279" s="6">
        <v>0</v>
      </c>
      <c r="S1279" s="6">
        <v>54.9</v>
      </c>
      <c r="T1279" s="6">
        <f>IF(S1279="",MEDIAN($S$2:$S$1409),S1279)</f>
        <v>54.9</v>
      </c>
    </row>
    <row r="1280" spans="1:20" ht="15" customHeight="1">
      <c r="A1280" s="6" t="s">
        <v>1315</v>
      </c>
      <c r="B1280" s="7">
        <v>45698</v>
      </c>
      <c r="C1280" s="6" t="s">
        <v>727</v>
      </c>
      <c r="D1280" s="6" t="s">
        <v>32</v>
      </c>
      <c r="E1280" s="6" t="s">
        <v>23</v>
      </c>
      <c r="F1280" s="6" t="str">
        <f>IF(E1280="","Unknown",E1280)</f>
        <v>Desktop</v>
      </c>
      <c r="G1280" s="6" t="s">
        <v>45</v>
      </c>
      <c r="H1280" s="6" t="str">
        <f>IF(G1280="","Unknown",G1280)</f>
        <v>Social</v>
      </c>
      <c r="I1280" s="6" t="s">
        <v>30</v>
      </c>
      <c r="J1280" s="6">
        <v>0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f>IF(O1280&gt;0,1,0)</f>
        <v>0</v>
      </c>
      <c r="Q1280" s="6">
        <v>0</v>
      </c>
      <c r="S1280" s="6">
        <v>28.7</v>
      </c>
      <c r="T1280" s="6">
        <f>IF(S1280="",MEDIAN($S$2:$S$1409),S1280)</f>
        <v>28.7</v>
      </c>
    </row>
    <row r="1281" spans="1:20" ht="15" customHeight="1">
      <c r="A1281" s="6" t="s">
        <v>1316</v>
      </c>
      <c r="B1281" s="7">
        <v>45699</v>
      </c>
      <c r="C1281" s="6" t="s">
        <v>727</v>
      </c>
      <c r="D1281" s="6" t="s">
        <v>22</v>
      </c>
      <c r="E1281" s="6" t="s">
        <v>28</v>
      </c>
      <c r="F1281" s="6" t="str">
        <f>IF(E1281="","Unknown",E1281)</f>
        <v>Mobile</v>
      </c>
      <c r="G1281" s="6" t="s">
        <v>29</v>
      </c>
      <c r="H1281" s="6" t="str">
        <f>IF(G1281="","Unknown",G1281)</f>
        <v>Organic</v>
      </c>
      <c r="I1281" s="6" t="s">
        <v>30</v>
      </c>
      <c r="J1281" s="6">
        <v>0</v>
      </c>
      <c r="K1281" s="6">
        <v>0</v>
      </c>
      <c r="L1281" s="6">
        <v>0</v>
      </c>
      <c r="M1281" s="6">
        <v>0</v>
      </c>
      <c r="N1281" s="6">
        <v>0</v>
      </c>
      <c r="O1281" s="6">
        <v>0</v>
      </c>
      <c r="P1281" s="6">
        <f>IF(O1281&gt;0,1,0)</f>
        <v>0</v>
      </c>
      <c r="Q1281" s="6">
        <v>0</v>
      </c>
      <c r="S1281" s="6">
        <v>68.8</v>
      </c>
      <c r="T1281" s="6">
        <f>IF(S1281="",MEDIAN($S$2:$S$1409),S1281)</f>
        <v>68.8</v>
      </c>
    </row>
    <row r="1282" spans="1:20" ht="15" customHeight="1">
      <c r="A1282" s="6" t="s">
        <v>1317</v>
      </c>
      <c r="B1282" s="7">
        <v>45678</v>
      </c>
      <c r="C1282" s="6" t="s">
        <v>727</v>
      </c>
      <c r="D1282" s="6" t="s">
        <v>32</v>
      </c>
      <c r="E1282" s="6" t="s">
        <v>23</v>
      </c>
      <c r="F1282" s="6" t="str">
        <f>IF(E1282="","Unknown",E1282)</f>
        <v>Desktop</v>
      </c>
      <c r="G1282" s="6" t="s">
        <v>33</v>
      </c>
      <c r="H1282" s="6" t="str">
        <f>IF(G1282="","Unknown",G1282)</f>
        <v>Paid Search</v>
      </c>
      <c r="I1282" s="6" t="s">
        <v>30</v>
      </c>
      <c r="J1282" s="6">
        <v>1</v>
      </c>
      <c r="K1282" s="6">
        <v>1</v>
      </c>
      <c r="L1282" s="6">
        <v>1</v>
      </c>
      <c r="M1282" s="6">
        <v>0</v>
      </c>
      <c r="N1282" s="6">
        <v>0</v>
      </c>
      <c r="O1282" s="6">
        <v>0</v>
      </c>
      <c r="P1282" s="6">
        <f>IF(O1282&gt;0,1,0)</f>
        <v>0</v>
      </c>
      <c r="Q1282" s="6">
        <v>0</v>
      </c>
      <c r="S1282" s="6">
        <v>43.5</v>
      </c>
      <c r="T1282" s="6">
        <f>IF(S1282="",MEDIAN($S$2:$S$1409),S1282)</f>
        <v>43.5</v>
      </c>
    </row>
    <row r="1283" spans="1:20" ht="15" customHeight="1">
      <c r="A1283" s="6" t="s">
        <v>1318</v>
      </c>
      <c r="B1283" s="7">
        <v>45690</v>
      </c>
      <c r="C1283" s="6" t="s">
        <v>727</v>
      </c>
      <c r="D1283" s="6" t="s">
        <v>27</v>
      </c>
      <c r="E1283" s="6" t="s">
        <v>23</v>
      </c>
      <c r="F1283" s="6" t="str">
        <f>IF(E1283="","Unknown",E1283)</f>
        <v>Desktop</v>
      </c>
      <c r="G1283" s="6" t="s">
        <v>45</v>
      </c>
      <c r="H1283" s="6" t="str">
        <f>IF(G1283="","Unknown",G1283)</f>
        <v>Social</v>
      </c>
      <c r="I1283" s="6" t="s">
        <v>30</v>
      </c>
      <c r="J1283" s="6">
        <v>1</v>
      </c>
      <c r="K1283" s="6">
        <v>1</v>
      </c>
      <c r="L1283" s="6">
        <v>0</v>
      </c>
      <c r="M1283" s="6">
        <v>0</v>
      </c>
      <c r="N1283" s="6">
        <v>0</v>
      </c>
      <c r="O1283" s="6">
        <v>0</v>
      </c>
      <c r="P1283" s="6">
        <f>IF(O1283&gt;0,1,0)</f>
        <v>0</v>
      </c>
      <c r="Q1283" s="6">
        <v>0</v>
      </c>
      <c r="S1283" s="6">
        <v>62.6</v>
      </c>
      <c r="T1283" s="6">
        <f>IF(S1283="",MEDIAN($S$2:$S$1409),S1283)</f>
        <v>62.6</v>
      </c>
    </row>
    <row r="1284" spans="1:20" ht="15" customHeight="1">
      <c r="A1284" s="6" t="s">
        <v>1319</v>
      </c>
      <c r="B1284" s="7">
        <v>45690</v>
      </c>
      <c r="C1284" s="6" t="s">
        <v>727</v>
      </c>
      <c r="D1284" s="6" t="s">
        <v>27</v>
      </c>
      <c r="E1284" s="6" t="s">
        <v>28</v>
      </c>
      <c r="F1284" s="6" t="str">
        <f>IF(E1284="","Unknown",E1284)</f>
        <v>Mobile</v>
      </c>
      <c r="G1284" s="6" t="s">
        <v>29</v>
      </c>
      <c r="H1284" s="6" t="str">
        <f>IF(G1284="","Unknown",G1284)</f>
        <v>Organic</v>
      </c>
      <c r="I1284" s="6" t="s">
        <v>30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O1284" s="6">
        <v>1</v>
      </c>
      <c r="P1284" s="6">
        <f>IF(O1284&gt;0,1,0)</f>
        <v>1</v>
      </c>
      <c r="Q1284" s="6">
        <v>0</v>
      </c>
      <c r="S1284" s="6">
        <v>54.1</v>
      </c>
      <c r="T1284" s="6">
        <f>IF(S1284="",MEDIAN($S$2:$S$1409),S1284)</f>
        <v>54.1</v>
      </c>
    </row>
    <row r="1285" spans="1:20" ht="15" customHeight="1">
      <c r="A1285" s="6" t="s">
        <v>1320</v>
      </c>
      <c r="B1285" s="7">
        <v>45714</v>
      </c>
      <c r="C1285" s="6" t="s">
        <v>727</v>
      </c>
      <c r="D1285" s="6" t="s">
        <v>27</v>
      </c>
      <c r="E1285" s="6" t="s">
        <v>38</v>
      </c>
      <c r="F1285" s="6" t="str">
        <f>IF(E1285="","Unknown",E1285)</f>
        <v>Tablet</v>
      </c>
      <c r="G1285" s="6" t="s">
        <v>45</v>
      </c>
      <c r="H1285" s="6" t="str">
        <f>IF(G1285="","Unknown",G1285)</f>
        <v>Social</v>
      </c>
      <c r="I1285" s="6" t="s">
        <v>30</v>
      </c>
      <c r="J1285" s="6">
        <v>1</v>
      </c>
      <c r="K1285" s="6">
        <v>1</v>
      </c>
      <c r="L1285" s="6">
        <v>1</v>
      </c>
      <c r="M1285" s="6">
        <v>0</v>
      </c>
      <c r="N1285" s="6">
        <v>0</v>
      </c>
      <c r="O1285" s="6">
        <v>0</v>
      </c>
      <c r="P1285" s="6">
        <f>IF(O1285&gt;0,1,0)</f>
        <v>0</v>
      </c>
      <c r="Q1285" s="6">
        <v>0</v>
      </c>
      <c r="S1285" s="6">
        <v>80.099999999999994</v>
      </c>
      <c r="T1285" s="6">
        <f>IF(S1285="",MEDIAN($S$2:$S$1409),S1285)</f>
        <v>80.099999999999994</v>
      </c>
    </row>
    <row r="1286" spans="1:20" ht="15" customHeight="1">
      <c r="A1286" s="6" t="s">
        <v>1321</v>
      </c>
      <c r="B1286" s="7">
        <v>45769</v>
      </c>
      <c r="C1286" s="6" t="s">
        <v>727</v>
      </c>
      <c r="D1286" s="6" t="s">
        <v>22</v>
      </c>
      <c r="E1286" s="6" t="s">
        <v>28</v>
      </c>
      <c r="F1286" s="6" t="str">
        <f>IF(E1286="","Unknown",E1286)</f>
        <v>Mobile</v>
      </c>
      <c r="G1286" s="6" t="s">
        <v>45</v>
      </c>
      <c r="H1286" s="6" t="str">
        <f>IF(G1286="","Unknown",G1286)</f>
        <v>Social</v>
      </c>
      <c r="I1286" s="6" t="s">
        <v>34</v>
      </c>
      <c r="J1286" s="6">
        <v>1</v>
      </c>
      <c r="K1286" s="6">
        <v>0</v>
      </c>
      <c r="L1286" s="6">
        <v>0</v>
      </c>
      <c r="M1286" s="6">
        <v>0</v>
      </c>
      <c r="N1286" s="6">
        <v>0</v>
      </c>
      <c r="O1286" s="6">
        <v>0</v>
      </c>
      <c r="P1286" s="6">
        <f>IF(O1286&gt;0,1,0)</f>
        <v>0</v>
      </c>
      <c r="Q1286" s="6">
        <v>0</v>
      </c>
      <c r="S1286" s="6">
        <v>69.5</v>
      </c>
      <c r="T1286" s="6">
        <f>IF(S1286="",MEDIAN($S$2:$S$1409),S1286)</f>
        <v>69.5</v>
      </c>
    </row>
    <row r="1287" spans="1:20" ht="15" customHeight="1">
      <c r="A1287" s="6" t="s">
        <v>1322</v>
      </c>
      <c r="B1287" s="7">
        <v>45727</v>
      </c>
      <c r="C1287" s="6" t="s">
        <v>727</v>
      </c>
      <c r="D1287" s="6" t="s">
        <v>22</v>
      </c>
      <c r="E1287" s="6" t="s">
        <v>23</v>
      </c>
      <c r="F1287" s="6" t="str">
        <f>IF(E1287="","Unknown",E1287)</f>
        <v>Desktop</v>
      </c>
      <c r="G1287" s="6" t="s">
        <v>29</v>
      </c>
      <c r="H1287" s="6" t="str">
        <f>IF(G1287="","Unknown",G1287)</f>
        <v>Organic</v>
      </c>
      <c r="I1287" s="6" t="s">
        <v>25</v>
      </c>
      <c r="J1287" s="6">
        <v>0</v>
      </c>
      <c r="K1287" s="6">
        <v>0</v>
      </c>
      <c r="L1287" s="6">
        <v>0</v>
      </c>
      <c r="M1287" s="6">
        <v>0</v>
      </c>
      <c r="N1287" s="6">
        <v>0</v>
      </c>
      <c r="O1287" s="6">
        <v>2</v>
      </c>
      <c r="P1287" s="6">
        <f>IF(O1287&gt;0,1,0)</f>
        <v>1</v>
      </c>
      <c r="Q1287" s="6">
        <v>0</v>
      </c>
      <c r="S1287" s="6">
        <v>46.6</v>
      </c>
      <c r="T1287" s="6">
        <f>IF(S1287="",MEDIAN($S$2:$S$1409),S1287)</f>
        <v>46.6</v>
      </c>
    </row>
    <row r="1288" spans="1:20" ht="15" customHeight="1">
      <c r="A1288" s="6" t="s">
        <v>1323</v>
      </c>
      <c r="B1288" s="7">
        <v>45785</v>
      </c>
      <c r="C1288" s="6" t="s">
        <v>727</v>
      </c>
      <c r="D1288" s="6" t="s">
        <v>36</v>
      </c>
      <c r="E1288" s="6" t="s">
        <v>28</v>
      </c>
      <c r="F1288" s="6" t="str">
        <f>IF(E1288="","Unknown",E1288)</f>
        <v>Mobile</v>
      </c>
      <c r="G1288" s="6" t="s">
        <v>29</v>
      </c>
      <c r="H1288" s="6" t="str">
        <f>IF(G1288="","Unknown",G1288)</f>
        <v>Organic</v>
      </c>
      <c r="I1288" s="6" t="s">
        <v>34</v>
      </c>
      <c r="J1288" s="6">
        <v>1</v>
      </c>
      <c r="K1288" s="6">
        <v>0</v>
      </c>
      <c r="L1288" s="6">
        <v>0</v>
      </c>
      <c r="M1288" s="6">
        <v>0</v>
      </c>
      <c r="N1288" s="6">
        <v>0</v>
      </c>
      <c r="O1288" s="6">
        <v>1</v>
      </c>
      <c r="P1288" s="6">
        <f>IF(O1288&gt;0,1,0)</f>
        <v>1</v>
      </c>
      <c r="Q1288" s="6">
        <v>0</v>
      </c>
      <c r="S1288" s="6">
        <v>54.9</v>
      </c>
      <c r="T1288" s="6">
        <f>IF(S1288="",MEDIAN($S$2:$S$1409),S1288)</f>
        <v>54.9</v>
      </c>
    </row>
    <row r="1289" spans="1:20" ht="15" customHeight="1">
      <c r="A1289" s="6" t="s">
        <v>1324</v>
      </c>
      <c r="B1289" s="7">
        <v>45726</v>
      </c>
      <c r="C1289" s="6" t="s">
        <v>727</v>
      </c>
      <c r="D1289" s="6" t="s">
        <v>32</v>
      </c>
      <c r="E1289" s="6" t="s">
        <v>23</v>
      </c>
      <c r="F1289" s="6" t="str">
        <f>IF(E1289="","Unknown",E1289)</f>
        <v>Desktop</v>
      </c>
      <c r="G1289" s="6" t="s">
        <v>29</v>
      </c>
      <c r="H1289" s="6" t="str">
        <f>IF(G1289="","Unknown",G1289)</f>
        <v>Organic</v>
      </c>
      <c r="I1289" s="6" t="s">
        <v>30</v>
      </c>
      <c r="J1289" s="6">
        <v>0</v>
      </c>
      <c r="K1289" s="6">
        <v>0</v>
      </c>
      <c r="L1289" s="6">
        <v>0</v>
      </c>
      <c r="M1289" s="6">
        <v>0</v>
      </c>
      <c r="N1289" s="6">
        <v>0</v>
      </c>
      <c r="O1289" s="6">
        <v>0</v>
      </c>
      <c r="P1289" s="6">
        <f>IF(O1289&gt;0,1,0)</f>
        <v>0</v>
      </c>
      <c r="Q1289" s="6">
        <v>0</v>
      </c>
      <c r="S1289" s="6">
        <v>100</v>
      </c>
      <c r="T1289" s="6">
        <f>IF(S1289="",MEDIAN($S$2:$S$1409),S1289)</f>
        <v>100</v>
      </c>
    </row>
    <row r="1290" spans="1:20" ht="15" customHeight="1">
      <c r="A1290" s="6" t="s">
        <v>1325</v>
      </c>
      <c r="B1290" s="7">
        <v>45763</v>
      </c>
      <c r="C1290" s="6" t="s">
        <v>727</v>
      </c>
      <c r="D1290" s="6" t="s">
        <v>32</v>
      </c>
      <c r="E1290" s="6" t="s">
        <v>23</v>
      </c>
      <c r="F1290" s="6" t="str">
        <f>IF(E1290="","Unknown",E1290)</f>
        <v>Desktop</v>
      </c>
      <c r="G1290" s="6" t="s">
        <v>33</v>
      </c>
      <c r="H1290" s="6" t="str">
        <f>IF(G1290="","Unknown",G1290)</f>
        <v>Paid Search</v>
      </c>
      <c r="I1290" s="6" t="s">
        <v>30</v>
      </c>
      <c r="J1290" s="6">
        <v>1</v>
      </c>
      <c r="K1290" s="6">
        <v>1</v>
      </c>
      <c r="L1290" s="6">
        <v>1</v>
      </c>
      <c r="M1290" s="6">
        <v>0</v>
      </c>
      <c r="N1290" s="6">
        <v>0</v>
      </c>
      <c r="O1290" s="6">
        <v>1</v>
      </c>
      <c r="P1290" s="6">
        <f>IF(O1290&gt;0,1,0)</f>
        <v>1</v>
      </c>
      <c r="Q1290" s="6">
        <v>0</v>
      </c>
      <c r="S1290" s="6">
        <v>80.5</v>
      </c>
      <c r="T1290" s="6">
        <f>IF(S1290="",MEDIAN($S$2:$S$1409),S1290)</f>
        <v>80.5</v>
      </c>
    </row>
    <row r="1291" spans="1:20" ht="15" customHeight="1">
      <c r="A1291" s="6" t="s">
        <v>1326</v>
      </c>
      <c r="B1291" s="7">
        <v>45717</v>
      </c>
      <c r="C1291" s="6" t="s">
        <v>727</v>
      </c>
      <c r="D1291" s="6" t="s">
        <v>27</v>
      </c>
      <c r="E1291" s="6" t="s">
        <v>38</v>
      </c>
      <c r="F1291" s="6" t="str">
        <f>IF(E1291="","Unknown",E1291)</f>
        <v>Tablet</v>
      </c>
      <c r="G1291" s="6" t="s">
        <v>29</v>
      </c>
      <c r="H1291" s="6" t="str">
        <f>IF(G1291="","Unknown",G1291)</f>
        <v>Organic</v>
      </c>
      <c r="I1291" s="6" t="s">
        <v>25</v>
      </c>
      <c r="J1291" s="6">
        <v>1</v>
      </c>
      <c r="K1291" s="6">
        <v>0</v>
      </c>
      <c r="L1291" s="6">
        <v>0</v>
      </c>
      <c r="M1291" s="6">
        <v>0</v>
      </c>
      <c r="N1291" s="6">
        <v>0</v>
      </c>
      <c r="O1291" s="6">
        <v>0</v>
      </c>
      <c r="P1291" s="6">
        <f>IF(O1291&gt;0,1,0)</f>
        <v>0</v>
      </c>
      <c r="Q1291" s="6">
        <v>0</v>
      </c>
      <c r="S1291" s="6">
        <v>51.2</v>
      </c>
      <c r="T1291" s="6">
        <f>IF(S1291="",MEDIAN($S$2:$S$1409),S1291)</f>
        <v>51.2</v>
      </c>
    </row>
    <row r="1292" spans="1:20" ht="15" customHeight="1">
      <c r="A1292" s="6" t="s">
        <v>1327</v>
      </c>
      <c r="B1292" s="7">
        <v>45675</v>
      </c>
      <c r="C1292" s="6" t="s">
        <v>727</v>
      </c>
      <c r="D1292" s="6" t="s">
        <v>36</v>
      </c>
      <c r="E1292" s="6" t="s">
        <v>23</v>
      </c>
      <c r="F1292" s="6" t="str">
        <f>IF(E1292="","Unknown",E1292)</f>
        <v>Desktop</v>
      </c>
      <c r="G1292" s="6" t="s">
        <v>29</v>
      </c>
      <c r="H1292" s="6" t="str">
        <f>IF(G1292="","Unknown",G1292)</f>
        <v>Organic</v>
      </c>
      <c r="I1292" s="6" t="s">
        <v>34</v>
      </c>
      <c r="J1292" s="6">
        <v>1</v>
      </c>
      <c r="K1292" s="6">
        <v>0</v>
      </c>
      <c r="L1292" s="6">
        <v>0</v>
      </c>
      <c r="M1292" s="6">
        <v>0</v>
      </c>
      <c r="N1292" s="6">
        <v>0</v>
      </c>
      <c r="O1292" s="6">
        <v>0</v>
      </c>
      <c r="P1292" s="6">
        <f>IF(O1292&gt;0,1,0)</f>
        <v>0</v>
      </c>
      <c r="Q1292" s="6">
        <v>0</v>
      </c>
      <c r="S1292" s="6">
        <v>42.5</v>
      </c>
      <c r="T1292" s="6">
        <f>IF(S1292="",MEDIAN($S$2:$S$1409),S1292)</f>
        <v>42.5</v>
      </c>
    </row>
    <row r="1293" spans="1:20" ht="15" customHeight="1">
      <c r="A1293" s="6" t="s">
        <v>1328</v>
      </c>
      <c r="B1293" s="7">
        <v>45746</v>
      </c>
      <c r="C1293" s="6" t="s">
        <v>727</v>
      </c>
      <c r="D1293" s="6" t="s">
        <v>22</v>
      </c>
      <c r="E1293" s="6" t="s">
        <v>28</v>
      </c>
      <c r="F1293" s="6" t="str">
        <f>IF(E1293="","Unknown",E1293)</f>
        <v>Mobile</v>
      </c>
      <c r="G1293" s="6" t="s">
        <v>33</v>
      </c>
      <c r="H1293" s="6" t="str">
        <f>IF(G1293="","Unknown",G1293)</f>
        <v>Paid Search</v>
      </c>
      <c r="I1293" s="6" t="s">
        <v>30</v>
      </c>
      <c r="J1293" s="6">
        <v>0</v>
      </c>
      <c r="K1293" s="6">
        <v>0</v>
      </c>
      <c r="L1293" s="6">
        <v>0</v>
      </c>
      <c r="M1293" s="6">
        <v>0</v>
      </c>
      <c r="N1293" s="6">
        <v>0</v>
      </c>
      <c r="O1293" s="6">
        <v>0</v>
      </c>
      <c r="P1293" s="6">
        <f>IF(O1293&gt;0,1,0)</f>
        <v>0</v>
      </c>
      <c r="Q1293" s="6">
        <v>0</v>
      </c>
      <c r="S1293" s="6">
        <v>72.5</v>
      </c>
      <c r="T1293" s="6">
        <f>IF(S1293="",MEDIAN($S$2:$S$1409),S1293)</f>
        <v>72.5</v>
      </c>
    </row>
    <row r="1294" spans="1:20" ht="15" customHeight="1">
      <c r="A1294" s="6" t="s">
        <v>1329</v>
      </c>
      <c r="B1294" s="7">
        <v>45803</v>
      </c>
      <c r="C1294" s="6" t="s">
        <v>727</v>
      </c>
      <c r="D1294" s="6" t="s">
        <v>27</v>
      </c>
      <c r="E1294" s="6" t="s">
        <v>28</v>
      </c>
      <c r="F1294" s="6" t="str">
        <f>IF(E1294="","Unknown",E1294)</f>
        <v>Mobile</v>
      </c>
      <c r="G1294" s="6" t="s">
        <v>45</v>
      </c>
      <c r="H1294" s="6" t="str">
        <f>IF(G1294="","Unknown",G1294)</f>
        <v>Social</v>
      </c>
      <c r="I1294" s="6" t="s">
        <v>34</v>
      </c>
      <c r="J1294" s="6">
        <v>0</v>
      </c>
      <c r="K1294" s="6">
        <v>0</v>
      </c>
      <c r="L1294" s="6">
        <v>0</v>
      </c>
      <c r="M1294" s="6">
        <v>0</v>
      </c>
      <c r="N1294" s="6">
        <v>0</v>
      </c>
      <c r="O1294" s="6">
        <v>0</v>
      </c>
      <c r="P1294" s="6">
        <f>IF(O1294&gt;0,1,0)</f>
        <v>0</v>
      </c>
      <c r="Q1294" s="6">
        <v>0</v>
      </c>
      <c r="S1294" s="6">
        <v>74.400000000000006</v>
      </c>
      <c r="T1294" s="6">
        <f>IF(S1294="",MEDIAN($S$2:$S$1409),S1294)</f>
        <v>74.400000000000006</v>
      </c>
    </row>
    <row r="1295" spans="1:20" ht="15" customHeight="1">
      <c r="A1295" s="6" t="s">
        <v>1330</v>
      </c>
      <c r="B1295" s="7">
        <v>45735</v>
      </c>
      <c r="C1295" s="6" t="s">
        <v>727</v>
      </c>
      <c r="D1295" s="6" t="s">
        <v>32</v>
      </c>
      <c r="E1295" s="6" t="s">
        <v>23</v>
      </c>
      <c r="F1295" s="6" t="str">
        <f>IF(E1295="","Unknown",E1295)</f>
        <v>Desktop</v>
      </c>
      <c r="G1295" s="6" t="s">
        <v>45</v>
      </c>
      <c r="H1295" s="6" t="str">
        <f>IF(G1295="","Unknown",G1295)</f>
        <v>Social</v>
      </c>
      <c r="I1295" s="6" t="s">
        <v>30</v>
      </c>
      <c r="J1295" s="6">
        <v>0</v>
      </c>
      <c r="K1295" s="6">
        <v>0</v>
      </c>
      <c r="L1295" s="6">
        <v>0</v>
      </c>
      <c r="M1295" s="6">
        <v>0</v>
      </c>
      <c r="N1295" s="6">
        <v>0</v>
      </c>
      <c r="O1295" s="6">
        <v>0</v>
      </c>
      <c r="P1295" s="6">
        <f>IF(O1295&gt;0,1,0)</f>
        <v>0</v>
      </c>
      <c r="Q1295" s="6">
        <v>0</v>
      </c>
      <c r="S1295" s="6">
        <v>78.400000000000006</v>
      </c>
      <c r="T1295" s="6">
        <f>IF(S1295="",MEDIAN($S$2:$S$1409),S1295)</f>
        <v>78.400000000000006</v>
      </c>
    </row>
    <row r="1296" spans="1:20" ht="15" customHeight="1">
      <c r="A1296" s="6" t="s">
        <v>1331</v>
      </c>
      <c r="B1296" s="7">
        <v>45744</v>
      </c>
      <c r="C1296" s="6" t="s">
        <v>727</v>
      </c>
      <c r="D1296" s="6" t="s">
        <v>22</v>
      </c>
      <c r="E1296" s="6" t="s">
        <v>23</v>
      </c>
      <c r="F1296" s="6" t="str">
        <f>IF(E1296="","Unknown",E1296)</f>
        <v>Desktop</v>
      </c>
      <c r="G1296" s="6" t="s">
        <v>43</v>
      </c>
      <c r="H1296" s="6" t="str">
        <f>IF(G1296="","Unknown",G1296)</f>
        <v>Referral</v>
      </c>
      <c r="I1296" s="6" t="s">
        <v>30</v>
      </c>
      <c r="J1296" s="6">
        <v>1</v>
      </c>
      <c r="K1296" s="6">
        <v>0</v>
      </c>
      <c r="L1296" s="6">
        <v>0</v>
      </c>
      <c r="M1296" s="6">
        <v>0</v>
      </c>
      <c r="N1296" s="6">
        <v>0</v>
      </c>
      <c r="O1296" s="6">
        <v>0</v>
      </c>
      <c r="P1296" s="6">
        <f>IF(O1296&gt;0,1,0)</f>
        <v>0</v>
      </c>
      <c r="Q1296" s="6">
        <v>0</v>
      </c>
      <c r="S1296" s="6">
        <v>71.5</v>
      </c>
      <c r="T1296" s="6">
        <f>IF(S1296="",MEDIAN($S$2:$S$1409),S1296)</f>
        <v>71.5</v>
      </c>
    </row>
    <row r="1297" spans="1:20" ht="15" customHeight="1">
      <c r="A1297" s="6" t="s">
        <v>1332</v>
      </c>
      <c r="B1297" s="7">
        <v>45805</v>
      </c>
      <c r="C1297" s="6" t="s">
        <v>727</v>
      </c>
      <c r="D1297" s="6" t="s">
        <v>36</v>
      </c>
      <c r="E1297" s="6" t="s">
        <v>23</v>
      </c>
      <c r="F1297" s="6" t="str">
        <f>IF(E1297="","Unknown",E1297)</f>
        <v>Desktop</v>
      </c>
      <c r="G1297" s="6" t="s">
        <v>45</v>
      </c>
      <c r="H1297" s="6" t="str">
        <f>IF(G1297="","Unknown",G1297)</f>
        <v>Social</v>
      </c>
      <c r="I1297" s="6" t="s">
        <v>30</v>
      </c>
      <c r="J1297" s="6">
        <v>1</v>
      </c>
      <c r="K1297" s="6">
        <v>0</v>
      </c>
      <c r="L1297" s="6">
        <v>0</v>
      </c>
      <c r="M1297" s="6">
        <v>0</v>
      </c>
      <c r="N1297" s="6">
        <v>0</v>
      </c>
      <c r="O1297" s="6">
        <v>0</v>
      </c>
      <c r="P1297" s="6">
        <f>IF(O1297&gt;0,1,0)</f>
        <v>0</v>
      </c>
      <c r="Q1297" s="6">
        <v>0</v>
      </c>
      <c r="S1297" s="6">
        <v>66.7</v>
      </c>
      <c r="T1297" s="6">
        <f>IF(S1297="",MEDIAN($S$2:$S$1409),S1297)</f>
        <v>66.7</v>
      </c>
    </row>
    <row r="1298" spans="1:20" ht="15" customHeight="1">
      <c r="A1298" s="6" t="s">
        <v>1333</v>
      </c>
      <c r="B1298" s="7">
        <v>45808</v>
      </c>
      <c r="C1298" s="6" t="s">
        <v>727</v>
      </c>
      <c r="D1298" s="6" t="s">
        <v>36</v>
      </c>
      <c r="E1298" s="6" t="s">
        <v>23</v>
      </c>
      <c r="F1298" s="6" t="str">
        <f>IF(E1298="","Unknown",E1298)</f>
        <v>Desktop</v>
      </c>
      <c r="G1298" s="6" t="s">
        <v>43</v>
      </c>
      <c r="H1298" s="6" t="str">
        <f>IF(G1298="","Unknown",G1298)</f>
        <v>Referral</v>
      </c>
      <c r="I1298" s="6" t="s">
        <v>34</v>
      </c>
      <c r="J1298" s="6">
        <v>1</v>
      </c>
      <c r="K1298" s="6">
        <v>1</v>
      </c>
      <c r="L1298" s="6">
        <v>1</v>
      </c>
      <c r="M1298" s="6">
        <v>1</v>
      </c>
      <c r="N1298" s="6">
        <v>1496.09</v>
      </c>
      <c r="O1298" s="6">
        <v>0</v>
      </c>
      <c r="P1298" s="6">
        <f>IF(O1298&gt;0,1,0)</f>
        <v>0</v>
      </c>
      <c r="Q1298" s="6">
        <v>0</v>
      </c>
      <c r="R1298" s="6">
        <v>7</v>
      </c>
      <c r="S1298" s="6">
        <v>60.4</v>
      </c>
      <c r="T1298" s="6">
        <f>IF(S1298="",MEDIAN($S$2:$S$1409),S1298)</f>
        <v>60.4</v>
      </c>
    </row>
    <row r="1299" spans="1:20" ht="15" customHeight="1">
      <c r="A1299" s="6" t="s">
        <v>1334</v>
      </c>
      <c r="B1299" s="7">
        <v>45787</v>
      </c>
      <c r="C1299" s="6" t="s">
        <v>727</v>
      </c>
      <c r="D1299" s="6" t="s">
        <v>22</v>
      </c>
      <c r="E1299" s="6" t="s">
        <v>28</v>
      </c>
      <c r="F1299" s="6" t="str">
        <f>IF(E1299="","Unknown",E1299)</f>
        <v>Mobile</v>
      </c>
      <c r="G1299" s="6" t="s">
        <v>43</v>
      </c>
      <c r="H1299" s="6" t="str">
        <f>IF(G1299="","Unknown",G1299)</f>
        <v>Referral</v>
      </c>
      <c r="I1299" s="6" t="s">
        <v>30</v>
      </c>
      <c r="J1299" s="6">
        <v>0</v>
      </c>
      <c r="K1299" s="6">
        <v>0</v>
      </c>
      <c r="L1299" s="6">
        <v>0</v>
      </c>
      <c r="M1299" s="6">
        <v>0</v>
      </c>
      <c r="N1299" s="6">
        <v>0</v>
      </c>
      <c r="O1299" s="6">
        <v>1</v>
      </c>
      <c r="P1299" s="6">
        <f>IF(O1299&gt;0,1,0)</f>
        <v>1</v>
      </c>
      <c r="Q1299" s="6">
        <v>0</v>
      </c>
      <c r="S1299" s="6">
        <v>72.900000000000006</v>
      </c>
      <c r="T1299" s="6">
        <f>IF(S1299="",MEDIAN($S$2:$S$1409),S1299)</f>
        <v>72.900000000000006</v>
      </c>
    </row>
    <row r="1300" spans="1:20" ht="15" customHeight="1">
      <c r="A1300" s="6" t="s">
        <v>1335</v>
      </c>
      <c r="B1300" s="7">
        <v>45794</v>
      </c>
      <c r="C1300" s="6" t="s">
        <v>727</v>
      </c>
      <c r="D1300" s="6" t="s">
        <v>27</v>
      </c>
      <c r="E1300" s="6" t="s">
        <v>28</v>
      </c>
      <c r="F1300" s="6" t="str">
        <f>IF(E1300="","Unknown",E1300)</f>
        <v>Mobile</v>
      </c>
      <c r="G1300" s="6" t="s">
        <v>29</v>
      </c>
      <c r="H1300" s="6" t="str">
        <f>IF(G1300="","Unknown",G1300)</f>
        <v>Organic</v>
      </c>
      <c r="I1300" s="6" t="s">
        <v>30</v>
      </c>
      <c r="J1300" s="6">
        <v>0</v>
      </c>
      <c r="K1300" s="6">
        <v>0</v>
      </c>
      <c r="L1300" s="6">
        <v>0</v>
      </c>
      <c r="M1300" s="6">
        <v>0</v>
      </c>
      <c r="N1300" s="6">
        <v>0</v>
      </c>
      <c r="O1300" s="6">
        <v>3</v>
      </c>
      <c r="P1300" s="6">
        <f>IF(O1300&gt;0,1,0)</f>
        <v>1</v>
      </c>
      <c r="Q1300" s="6">
        <v>0</v>
      </c>
      <c r="S1300" s="6"/>
      <c r="T1300" s="6">
        <f>IF(S1300="",MEDIAN($S$2:$S$1409),S1300)</f>
        <v>59.9</v>
      </c>
    </row>
    <row r="1301" spans="1:20" ht="15" customHeight="1">
      <c r="A1301" s="6" t="s">
        <v>1336</v>
      </c>
      <c r="B1301" s="7">
        <v>45675</v>
      </c>
      <c r="C1301" s="6" t="s">
        <v>727</v>
      </c>
      <c r="D1301" s="6" t="s">
        <v>36</v>
      </c>
      <c r="E1301" s="6" t="s">
        <v>28</v>
      </c>
      <c r="F1301" s="6" t="str">
        <f>IF(E1301="","Unknown",E1301)</f>
        <v>Mobile</v>
      </c>
      <c r="G1301" s="6" t="s">
        <v>29</v>
      </c>
      <c r="H1301" s="6" t="str">
        <f>IF(G1301="","Unknown",G1301)</f>
        <v>Organic</v>
      </c>
      <c r="I1301" s="6" t="s">
        <v>34</v>
      </c>
      <c r="J1301" s="6">
        <v>1</v>
      </c>
      <c r="K1301" s="6">
        <v>0</v>
      </c>
      <c r="L1301" s="6">
        <v>0</v>
      </c>
      <c r="M1301" s="6">
        <v>0</v>
      </c>
      <c r="N1301" s="6">
        <v>0</v>
      </c>
      <c r="O1301" s="6">
        <v>0</v>
      </c>
      <c r="P1301" s="6">
        <f>IF(O1301&gt;0,1,0)</f>
        <v>0</v>
      </c>
      <c r="Q1301" s="6">
        <v>0</v>
      </c>
      <c r="S1301" s="6">
        <v>55.2</v>
      </c>
      <c r="T1301" s="6">
        <f>IF(S1301="",MEDIAN($S$2:$S$1409),S1301)</f>
        <v>55.2</v>
      </c>
    </row>
    <row r="1302" spans="1:20" ht="15" customHeight="1">
      <c r="A1302" s="6" t="s">
        <v>1337</v>
      </c>
      <c r="B1302" s="7">
        <v>45781</v>
      </c>
      <c r="C1302" s="6" t="s">
        <v>727</v>
      </c>
      <c r="D1302" s="6" t="s">
        <v>27</v>
      </c>
      <c r="E1302" s="6" t="s">
        <v>28</v>
      </c>
      <c r="F1302" s="6" t="str">
        <f>IF(E1302="","Unknown",E1302)</f>
        <v>Mobile</v>
      </c>
      <c r="G1302" s="6" t="s">
        <v>45</v>
      </c>
      <c r="H1302" s="6" t="str">
        <f>IF(G1302="","Unknown",G1302)</f>
        <v>Social</v>
      </c>
      <c r="I1302" s="6" t="s">
        <v>30</v>
      </c>
      <c r="J1302" s="6">
        <v>1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  <c r="P1302" s="6">
        <f>IF(O1302&gt;0,1,0)</f>
        <v>0</v>
      </c>
      <c r="Q1302" s="6">
        <v>0</v>
      </c>
      <c r="S1302" s="6">
        <v>67.8</v>
      </c>
      <c r="T1302" s="6">
        <f>IF(S1302="",MEDIAN($S$2:$S$1409),S1302)</f>
        <v>67.8</v>
      </c>
    </row>
    <row r="1303" spans="1:20" ht="15" customHeight="1">
      <c r="A1303" s="6" t="s">
        <v>1338</v>
      </c>
      <c r="B1303" s="7">
        <v>45741</v>
      </c>
      <c r="C1303" s="6" t="s">
        <v>727</v>
      </c>
      <c r="D1303" s="6" t="s">
        <v>22</v>
      </c>
      <c r="E1303" s="6" t="s">
        <v>28</v>
      </c>
      <c r="F1303" s="6" t="str">
        <f>IF(E1303="","Unknown",E1303)</f>
        <v>Mobile</v>
      </c>
      <c r="G1303" s="6" t="s">
        <v>29</v>
      </c>
      <c r="H1303" s="6" t="str">
        <f>IF(G1303="","Unknown",G1303)</f>
        <v>Organic</v>
      </c>
      <c r="I1303" s="6" t="s">
        <v>30</v>
      </c>
      <c r="J1303" s="6">
        <v>1</v>
      </c>
      <c r="K1303" s="6">
        <v>0</v>
      </c>
      <c r="L1303" s="6">
        <v>0</v>
      </c>
      <c r="M1303" s="6">
        <v>0</v>
      </c>
      <c r="N1303" s="6">
        <v>0</v>
      </c>
      <c r="O1303" s="6">
        <v>2</v>
      </c>
      <c r="P1303" s="6">
        <f>IF(O1303&gt;0,1,0)</f>
        <v>1</v>
      </c>
      <c r="Q1303" s="6">
        <v>0</v>
      </c>
      <c r="S1303" s="6">
        <v>70</v>
      </c>
      <c r="T1303" s="6">
        <f>IF(S1303="",MEDIAN($S$2:$S$1409),S1303)</f>
        <v>70</v>
      </c>
    </row>
    <row r="1304" spans="1:20" ht="15" customHeight="1">
      <c r="A1304" s="6" t="s">
        <v>1339</v>
      </c>
      <c r="B1304" s="7">
        <v>45715</v>
      </c>
      <c r="C1304" s="6" t="s">
        <v>727</v>
      </c>
      <c r="D1304" s="6" t="s">
        <v>22</v>
      </c>
      <c r="E1304" s="6" t="s">
        <v>28</v>
      </c>
      <c r="F1304" s="6" t="str">
        <f>IF(E1304="","Unknown",E1304)</f>
        <v>Mobile</v>
      </c>
      <c r="G1304" s="6" t="s">
        <v>45</v>
      </c>
      <c r="H1304" s="6" t="str">
        <f>IF(G1304="","Unknown",G1304)</f>
        <v>Social</v>
      </c>
      <c r="I1304" s="6" t="s">
        <v>25</v>
      </c>
      <c r="J1304" s="6">
        <v>1</v>
      </c>
      <c r="K1304" s="6">
        <v>1</v>
      </c>
      <c r="L1304" s="6">
        <v>1</v>
      </c>
      <c r="M1304" s="6">
        <v>0</v>
      </c>
      <c r="N1304" s="6">
        <v>0</v>
      </c>
      <c r="O1304" s="6">
        <v>0</v>
      </c>
      <c r="P1304" s="6">
        <f>IF(O1304&gt;0,1,0)</f>
        <v>0</v>
      </c>
      <c r="Q1304" s="6">
        <v>0</v>
      </c>
      <c r="S1304" s="6">
        <v>51.1</v>
      </c>
      <c r="T1304" s="6">
        <f>IF(S1304="",MEDIAN($S$2:$S$1409),S1304)</f>
        <v>51.1</v>
      </c>
    </row>
    <row r="1305" spans="1:20" ht="15" customHeight="1">
      <c r="A1305" s="6" t="s">
        <v>1340</v>
      </c>
      <c r="B1305" s="7">
        <v>45671</v>
      </c>
      <c r="C1305" s="6" t="s">
        <v>727</v>
      </c>
      <c r="D1305" s="6" t="s">
        <v>27</v>
      </c>
      <c r="E1305" s="6" t="s">
        <v>28</v>
      </c>
      <c r="F1305" s="6" t="str">
        <f>IF(E1305="","Unknown",E1305)</f>
        <v>Mobile</v>
      </c>
      <c r="G1305" s="6" t="s">
        <v>33</v>
      </c>
      <c r="H1305" s="6" t="str">
        <f>IF(G1305="","Unknown",G1305)</f>
        <v>Paid Search</v>
      </c>
      <c r="I1305" s="6" t="s">
        <v>25</v>
      </c>
      <c r="J1305" s="6">
        <v>1</v>
      </c>
      <c r="K1305" s="6">
        <v>1</v>
      </c>
      <c r="L1305" s="6">
        <v>1</v>
      </c>
      <c r="M1305" s="6">
        <v>0</v>
      </c>
      <c r="N1305" s="6">
        <v>0</v>
      </c>
      <c r="O1305" s="6">
        <v>0</v>
      </c>
      <c r="P1305" s="6">
        <f>IF(O1305&gt;0,1,0)</f>
        <v>0</v>
      </c>
      <c r="Q1305" s="6">
        <v>0</v>
      </c>
      <c r="S1305" s="6">
        <v>57</v>
      </c>
      <c r="T1305" s="6">
        <f>IF(S1305="",MEDIAN($S$2:$S$1409),S1305)</f>
        <v>57</v>
      </c>
    </row>
    <row r="1306" spans="1:20" ht="15" customHeight="1">
      <c r="A1306" s="6" t="s">
        <v>1341</v>
      </c>
      <c r="B1306" s="7">
        <v>45758</v>
      </c>
      <c r="C1306" s="6" t="s">
        <v>727</v>
      </c>
      <c r="D1306" s="6" t="s">
        <v>32</v>
      </c>
      <c r="E1306" s="6" t="s">
        <v>28</v>
      </c>
      <c r="F1306" s="6" t="str">
        <f>IF(E1306="","Unknown",E1306)</f>
        <v>Mobile</v>
      </c>
      <c r="G1306" s="6" t="s">
        <v>45</v>
      </c>
      <c r="H1306" s="6" t="str">
        <f>IF(G1306="","Unknown",G1306)</f>
        <v>Social</v>
      </c>
      <c r="I1306" s="6" t="s">
        <v>30</v>
      </c>
      <c r="J1306" s="6">
        <v>0</v>
      </c>
      <c r="K1306" s="6">
        <v>0</v>
      </c>
      <c r="L1306" s="6">
        <v>0</v>
      </c>
      <c r="M1306" s="6">
        <v>0</v>
      </c>
      <c r="N1306" s="6">
        <v>0</v>
      </c>
      <c r="O1306" s="6">
        <v>1</v>
      </c>
      <c r="P1306" s="6">
        <f>IF(O1306&gt;0,1,0)</f>
        <v>1</v>
      </c>
      <c r="Q1306" s="6">
        <v>0</v>
      </c>
      <c r="S1306" s="6">
        <v>47.1</v>
      </c>
      <c r="T1306" s="6">
        <f>IF(S1306="",MEDIAN($S$2:$S$1409),S1306)</f>
        <v>47.1</v>
      </c>
    </row>
    <row r="1307" spans="1:20" ht="15" customHeight="1">
      <c r="A1307" s="6" t="s">
        <v>1342</v>
      </c>
      <c r="B1307" s="7">
        <v>45742</v>
      </c>
      <c r="C1307" s="6" t="s">
        <v>727</v>
      </c>
      <c r="D1307" s="6" t="s">
        <v>32</v>
      </c>
      <c r="E1307" s="6" t="s">
        <v>23</v>
      </c>
      <c r="F1307" s="6" t="str">
        <f>IF(E1307="","Unknown",E1307)</f>
        <v>Desktop</v>
      </c>
      <c r="G1307" s="6" t="s">
        <v>45</v>
      </c>
      <c r="H1307" s="6" t="str">
        <f>IF(G1307="","Unknown",G1307)</f>
        <v>Social</v>
      </c>
      <c r="I1307" s="6" t="s">
        <v>25</v>
      </c>
      <c r="J1307" s="6">
        <v>0</v>
      </c>
      <c r="K1307" s="6"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f>IF(O1307&gt;0,1,0)</f>
        <v>0</v>
      </c>
      <c r="Q1307" s="6">
        <v>0</v>
      </c>
      <c r="S1307" s="6">
        <v>30.7</v>
      </c>
      <c r="T1307" s="6">
        <f>IF(S1307="",MEDIAN($S$2:$S$1409),S1307)</f>
        <v>30.7</v>
      </c>
    </row>
    <row r="1308" spans="1:20" ht="15" customHeight="1">
      <c r="A1308" s="6" t="s">
        <v>1343</v>
      </c>
      <c r="B1308" s="7">
        <v>45700</v>
      </c>
      <c r="C1308" s="6" t="s">
        <v>727</v>
      </c>
      <c r="D1308" s="6" t="s">
        <v>27</v>
      </c>
      <c r="E1308" s="6" t="s">
        <v>23</v>
      </c>
      <c r="F1308" s="6" t="str">
        <f>IF(E1308="","Unknown",E1308)</f>
        <v>Desktop</v>
      </c>
      <c r="G1308" s="6" t="s">
        <v>45</v>
      </c>
      <c r="H1308" s="6" t="str">
        <f>IF(G1308="","Unknown",G1308)</f>
        <v>Social</v>
      </c>
      <c r="I1308" s="6" t="s">
        <v>30</v>
      </c>
      <c r="J1308" s="6">
        <v>1</v>
      </c>
      <c r="K1308" s="6">
        <v>0</v>
      </c>
      <c r="L1308" s="6">
        <v>0</v>
      </c>
      <c r="M1308" s="6">
        <v>0</v>
      </c>
      <c r="N1308" s="6">
        <v>0</v>
      </c>
      <c r="O1308" s="6">
        <v>0</v>
      </c>
      <c r="P1308" s="6">
        <f>IF(O1308&gt;0,1,0)</f>
        <v>0</v>
      </c>
      <c r="Q1308" s="6">
        <v>0</v>
      </c>
      <c r="S1308" s="6">
        <v>57.3</v>
      </c>
      <c r="T1308" s="6">
        <f>IF(S1308="",MEDIAN($S$2:$S$1409),S1308)</f>
        <v>57.3</v>
      </c>
    </row>
    <row r="1309" spans="1:20" ht="15" customHeight="1">
      <c r="A1309" s="6" t="s">
        <v>1344</v>
      </c>
      <c r="B1309" s="7">
        <v>45706</v>
      </c>
      <c r="C1309" s="6" t="s">
        <v>727</v>
      </c>
      <c r="D1309" s="6" t="s">
        <v>27</v>
      </c>
      <c r="E1309" s="6" t="s">
        <v>38</v>
      </c>
      <c r="F1309" s="6" t="str">
        <f>IF(E1309="","Unknown",E1309)</f>
        <v>Tablet</v>
      </c>
      <c r="G1309" s="6" t="s">
        <v>33</v>
      </c>
      <c r="H1309" s="6" t="str">
        <f>IF(G1309="","Unknown",G1309)</f>
        <v>Paid Search</v>
      </c>
      <c r="I1309" s="6" t="s">
        <v>25</v>
      </c>
      <c r="J1309" s="6">
        <v>1</v>
      </c>
      <c r="K1309" s="6">
        <v>0</v>
      </c>
      <c r="L1309" s="6">
        <v>0</v>
      </c>
      <c r="M1309" s="6">
        <v>0</v>
      </c>
      <c r="N1309" s="6">
        <v>0</v>
      </c>
      <c r="O1309" s="6">
        <v>0</v>
      </c>
      <c r="P1309" s="6">
        <f>IF(O1309&gt;0,1,0)</f>
        <v>0</v>
      </c>
      <c r="Q1309" s="6">
        <v>0</v>
      </c>
      <c r="S1309" s="6">
        <v>70</v>
      </c>
      <c r="T1309" s="6">
        <f>IF(S1309="",MEDIAN($S$2:$S$1409),S1309)</f>
        <v>70</v>
      </c>
    </row>
    <row r="1310" spans="1:20" ht="15" customHeight="1">
      <c r="A1310" s="6" t="s">
        <v>1345</v>
      </c>
      <c r="B1310" s="7">
        <v>45802</v>
      </c>
      <c r="C1310" s="6" t="s">
        <v>727</v>
      </c>
      <c r="D1310" s="6" t="s">
        <v>32</v>
      </c>
      <c r="E1310" s="6" t="s">
        <v>23</v>
      </c>
      <c r="F1310" s="6" t="str">
        <f>IF(E1310="","Unknown",E1310)</f>
        <v>Desktop</v>
      </c>
      <c r="G1310" s="6" t="s">
        <v>45</v>
      </c>
      <c r="H1310" s="6" t="str">
        <f>IF(G1310="","Unknown",G1310)</f>
        <v>Social</v>
      </c>
      <c r="I1310" s="6" t="s">
        <v>30</v>
      </c>
      <c r="J1310" s="6">
        <v>1</v>
      </c>
      <c r="K1310" s="6">
        <v>1</v>
      </c>
      <c r="L1310" s="6">
        <v>1</v>
      </c>
      <c r="M1310" s="6">
        <v>0</v>
      </c>
      <c r="N1310" s="6">
        <v>0</v>
      </c>
      <c r="O1310" s="6">
        <v>0</v>
      </c>
      <c r="P1310" s="6">
        <f>IF(O1310&gt;0,1,0)</f>
        <v>0</v>
      </c>
      <c r="Q1310" s="6">
        <v>0</v>
      </c>
      <c r="S1310" s="6">
        <v>59.7</v>
      </c>
      <c r="T1310" s="6">
        <f>IF(S1310="",MEDIAN($S$2:$S$1409),S1310)</f>
        <v>59.7</v>
      </c>
    </row>
    <row r="1311" spans="1:20" ht="15" customHeight="1">
      <c r="A1311" s="6" t="s">
        <v>1346</v>
      </c>
      <c r="B1311" s="7">
        <v>45800</v>
      </c>
      <c r="C1311" s="6" t="s">
        <v>727</v>
      </c>
      <c r="D1311" s="6" t="s">
        <v>32</v>
      </c>
      <c r="E1311" s="6" t="s">
        <v>23</v>
      </c>
      <c r="F1311" s="6" t="str">
        <f>IF(E1311="","Unknown",E1311)</f>
        <v>Desktop</v>
      </c>
      <c r="G1311" s="6" t="s">
        <v>33</v>
      </c>
      <c r="H1311" s="6" t="str">
        <f>IF(G1311="","Unknown",G1311)</f>
        <v>Paid Search</v>
      </c>
      <c r="I1311" s="6" t="s">
        <v>25</v>
      </c>
      <c r="J1311" s="6">
        <v>1</v>
      </c>
      <c r="K1311" s="6">
        <v>0</v>
      </c>
      <c r="L1311" s="6">
        <v>0</v>
      </c>
      <c r="M1311" s="6">
        <v>0</v>
      </c>
      <c r="N1311" s="6">
        <v>0</v>
      </c>
      <c r="O1311" s="6">
        <v>0</v>
      </c>
      <c r="P1311" s="6">
        <f>IF(O1311&gt;0,1,0)</f>
        <v>0</v>
      </c>
      <c r="Q1311" s="6">
        <v>0</v>
      </c>
      <c r="S1311" s="6">
        <v>68.8</v>
      </c>
      <c r="T1311" s="6">
        <f>IF(S1311="",MEDIAN($S$2:$S$1409),S1311)</f>
        <v>68.8</v>
      </c>
    </row>
    <row r="1312" spans="1:20" ht="15" customHeight="1">
      <c r="A1312" s="6" t="s">
        <v>1347</v>
      </c>
      <c r="B1312" s="7">
        <v>45673</v>
      </c>
      <c r="C1312" s="6" t="s">
        <v>727</v>
      </c>
      <c r="D1312" s="6" t="s">
        <v>22</v>
      </c>
      <c r="E1312" s="6" t="s">
        <v>23</v>
      </c>
      <c r="F1312" s="6" t="str">
        <f>IF(E1312="","Unknown",E1312)</f>
        <v>Desktop</v>
      </c>
      <c r="G1312" s="6" t="s">
        <v>29</v>
      </c>
      <c r="H1312" s="6" t="str">
        <f>IF(G1312="","Unknown",G1312)</f>
        <v>Organic</v>
      </c>
      <c r="I1312" s="6" t="s">
        <v>30</v>
      </c>
      <c r="J1312" s="6">
        <v>1</v>
      </c>
      <c r="K1312" s="6">
        <v>1</v>
      </c>
      <c r="L1312" s="6">
        <v>1</v>
      </c>
      <c r="M1312" s="6">
        <v>1</v>
      </c>
      <c r="N1312" s="6">
        <v>428.37</v>
      </c>
      <c r="O1312" s="6">
        <v>0</v>
      </c>
      <c r="P1312" s="6">
        <f>IF(O1312&gt;0,1,0)</f>
        <v>0</v>
      </c>
      <c r="Q1312" s="6">
        <v>0</v>
      </c>
      <c r="R1312" s="6">
        <v>9</v>
      </c>
      <c r="S1312" s="6">
        <v>88.3</v>
      </c>
      <c r="T1312" s="6">
        <f>IF(S1312="",MEDIAN($S$2:$S$1409),S1312)</f>
        <v>88.3</v>
      </c>
    </row>
    <row r="1313" spans="1:20" ht="15" customHeight="1">
      <c r="A1313" s="6" t="s">
        <v>1348</v>
      </c>
      <c r="B1313" s="7">
        <v>45676</v>
      </c>
      <c r="C1313" s="6" t="s">
        <v>727</v>
      </c>
      <c r="D1313" s="6" t="s">
        <v>27</v>
      </c>
      <c r="E1313" s="6" t="s">
        <v>23</v>
      </c>
      <c r="F1313" s="6" t="str">
        <f>IF(E1313="","Unknown",E1313)</f>
        <v>Desktop</v>
      </c>
      <c r="G1313" s="6" t="s">
        <v>24</v>
      </c>
      <c r="H1313" s="6" t="str">
        <f>IF(G1313="","Unknown",G1313)</f>
        <v>Email</v>
      </c>
      <c r="I1313" s="6" t="s">
        <v>25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f>IF(O1313&gt;0,1,0)</f>
        <v>0</v>
      </c>
      <c r="Q1313" s="6">
        <v>0</v>
      </c>
      <c r="S1313" s="6">
        <v>83.4</v>
      </c>
      <c r="T1313" s="6">
        <f>IF(S1313="",MEDIAN($S$2:$S$1409),S1313)</f>
        <v>83.4</v>
      </c>
    </row>
    <row r="1314" spans="1:20" ht="15" customHeight="1">
      <c r="A1314" s="6" t="s">
        <v>1349</v>
      </c>
      <c r="B1314" s="7">
        <v>45795</v>
      </c>
      <c r="C1314" s="6" t="s">
        <v>727</v>
      </c>
      <c r="D1314" s="6" t="s">
        <v>36</v>
      </c>
      <c r="E1314" s="6" t="s">
        <v>28</v>
      </c>
      <c r="F1314" s="6" t="str">
        <f>IF(E1314="","Unknown",E1314)</f>
        <v>Mobile</v>
      </c>
      <c r="G1314" s="6" t="s">
        <v>43</v>
      </c>
      <c r="H1314" s="6" t="str">
        <f>IF(G1314="","Unknown",G1314)</f>
        <v>Referral</v>
      </c>
      <c r="I1314" s="6" t="s">
        <v>30</v>
      </c>
      <c r="J1314" s="6">
        <v>0</v>
      </c>
      <c r="K1314" s="6">
        <v>0</v>
      </c>
      <c r="L1314" s="6">
        <v>0</v>
      </c>
      <c r="M1314" s="6">
        <v>0</v>
      </c>
      <c r="N1314" s="6">
        <v>0</v>
      </c>
      <c r="O1314" s="6">
        <v>1</v>
      </c>
      <c r="P1314" s="6">
        <f>IF(O1314&gt;0,1,0)</f>
        <v>1</v>
      </c>
      <c r="Q1314" s="6">
        <v>0</v>
      </c>
      <c r="S1314" s="6">
        <v>81.599999999999994</v>
      </c>
      <c r="T1314" s="6">
        <f>IF(S1314="",MEDIAN($S$2:$S$1409),S1314)</f>
        <v>81.599999999999994</v>
      </c>
    </row>
    <row r="1315" spans="1:20" ht="15" customHeight="1">
      <c r="A1315" s="6" t="s">
        <v>1350</v>
      </c>
      <c r="B1315" s="7">
        <v>45680</v>
      </c>
      <c r="C1315" s="6" t="s">
        <v>727</v>
      </c>
      <c r="D1315" s="6" t="s">
        <v>32</v>
      </c>
      <c r="E1315" s="6" t="s">
        <v>38</v>
      </c>
      <c r="F1315" s="6" t="str">
        <f>IF(E1315="","Unknown",E1315)</f>
        <v>Tablet</v>
      </c>
      <c r="G1315" s="6" t="s">
        <v>45</v>
      </c>
      <c r="H1315" s="6" t="str">
        <f>IF(G1315="","Unknown",G1315)</f>
        <v>Social</v>
      </c>
      <c r="I1315" s="6" t="s">
        <v>34</v>
      </c>
      <c r="J1315" s="6">
        <v>1</v>
      </c>
      <c r="K1315" s="6">
        <v>0</v>
      </c>
      <c r="L1315" s="6">
        <v>0</v>
      </c>
      <c r="M1315" s="6">
        <v>0</v>
      </c>
      <c r="N1315" s="6">
        <v>0</v>
      </c>
      <c r="O1315" s="6">
        <v>0</v>
      </c>
      <c r="P1315" s="6">
        <f>IF(O1315&gt;0,1,0)</f>
        <v>0</v>
      </c>
      <c r="Q1315" s="6">
        <v>0</v>
      </c>
      <c r="S1315" s="6">
        <v>91.6</v>
      </c>
      <c r="T1315" s="6">
        <f>IF(S1315="",MEDIAN($S$2:$S$1409),S1315)</f>
        <v>91.6</v>
      </c>
    </row>
    <row r="1316" spans="1:20" ht="15" customHeight="1">
      <c r="A1316" s="6" t="s">
        <v>1351</v>
      </c>
      <c r="B1316" s="7">
        <v>45665</v>
      </c>
      <c r="C1316" s="6" t="s">
        <v>727</v>
      </c>
      <c r="D1316" s="6" t="s">
        <v>32</v>
      </c>
      <c r="E1316" s="6" t="s">
        <v>38</v>
      </c>
      <c r="F1316" s="6" t="str">
        <f>IF(E1316="","Unknown",E1316)</f>
        <v>Tablet</v>
      </c>
      <c r="G1316" s="6"/>
      <c r="H1316" s="6" t="str">
        <f>IF(G1316="","Unknown",G1316)</f>
        <v>Unknown</v>
      </c>
      <c r="I1316" s="6" t="s">
        <v>34</v>
      </c>
      <c r="J1316" s="6">
        <v>1</v>
      </c>
      <c r="K1316" s="6">
        <v>1</v>
      </c>
      <c r="L1316" s="6">
        <v>1</v>
      </c>
      <c r="M1316" s="6">
        <v>0</v>
      </c>
      <c r="N1316" s="6">
        <v>0</v>
      </c>
      <c r="O1316" s="6">
        <v>1</v>
      </c>
      <c r="P1316" s="6">
        <f>IF(O1316&gt;0,1,0)</f>
        <v>1</v>
      </c>
      <c r="Q1316" s="6">
        <v>0</v>
      </c>
      <c r="S1316" s="6">
        <v>61.5</v>
      </c>
      <c r="T1316" s="6">
        <f>IF(S1316="",MEDIAN($S$2:$S$1409),S1316)</f>
        <v>61.5</v>
      </c>
    </row>
    <row r="1317" spans="1:20" ht="15" customHeight="1">
      <c r="A1317" s="6" t="s">
        <v>1352</v>
      </c>
      <c r="B1317" s="7">
        <v>45707</v>
      </c>
      <c r="C1317" s="6" t="s">
        <v>727</v>
      </c>
      <c r="D1317" s="6" t="s">
        <v>22</v>
      </c>
      <c r="E1317" s="6" t="s">
        <v>28</v>
      </c>
      <c r="F1317" s="6" t="str">
        <f>IF(E1317="","Unknown",E1317)</f>
        <v>Mobile</v>
      </c>
      <c r="G1317" s="6" t="s">
        <v>29</v>
      </c>
      <c r="H1317" s="6" t="str">
        <f>IF(G1317="","Unknown",G1317)</f>
        <v>Organic</v>
      </c>
      <c r="I1317" s="6" t="s">
        <v>34</v>
      </c>
      <c r="J1317" s="6">
        <v>0</v>
      </c>
      <c r="K1317" s="6">
        <v>0</v>
      </c>
      <c r="L1317" s="6">
        <v>0</v>
      </c>
      <c r="M1317" s="6">
        <v>0</v>
      </c>
      <c r="N1317" s="6">
        <v>0</v>
      </c>
      <c r="O1317" s="6">
        <v>0</v>
      </c>
      <c r="P1317" s="6">
        <f>IF(O1317&gt;0,1,0)</f>
        <v>0</v>
      </c>
      <c r="Q1317" s="6">
        <v>0</v>
      </c>
      <c r="S1317" s="6"/>
      <c r="T1317" s="6">
        <f>IF(S1317="",MEDIAN($S$2:$S$1409),S1317)</f>
        <v>59.9</v>
      </c>
    </row>
    <row r="1318" spans="1:20" ht="15" customHeight="1">
      <c r="A1318" s="6" t="s">
        <v>1353</v>
      </c>
      <c r="B1318" s="7">
        <v>45698</v>
      </c>
      <c r="C1318" s="6" t="s">
        <v>727</v>
      </c>
      <c r="D1318" s="6" t="s">
        <v>36</v>
      </c>
      <c r="E1318" s="6" t="s">
        <v>28</v>
      </c>
      <c r="F1318" s="6" t="str">
        <f>IF(E1318="","Unknown",E1318)</f>
        <v>Mobile</v>
      </c>
      <c r="G1318" s="6" t="s">
        <v>29</v>
      </c>
      <c r="H1318" s="6" t="str">
        <f>IF(G1318="","Unknown",G1318)</f>
        <v>Organic</v>
      </c>
      <c r="I1318" s="6" t="s">
        <v>30</v>
      </c>
      <c r="J1318" s="6">
        <v>1</v>
      </c>
      <c r="K1318" s="6">
        <v>0</v>
      </c>
      <c r="L1318" s="6">
        <v>0</v>
      </c>
      <c r="M1318" s="6">
        <v>0</v>
      </c>
      <c r="N1318" s="6">
        <v>0</v>
      </c>
      <c r="O1318" s="6">
        <v>0</v>
      </c>
      <c r="P1318" s="6">
        <f>IF(O1318&gt;0,1,0)</f>
        <v>0</v>
      </c>
      <c r="Q1318" s="6">
        <v>0</v>
      </c>
      <c r="S1318" s="6">
        <v>32.6</v>
      </c>
      <c r="T1318" s="6">
        <f>IF(S1318="",MEDIAN($S$2:$S$1409),S1318)</f>
        <v>32.6</v>
      </c>
    </row>
    <row r="1319" spans="1:20" ht="15" customHeight="1">
      <c r="A1319" s="6" t="s">
        <v>1354</v>
      </c>
      <c r="B1319" s="7">
        <v>45760</v>
      </c>
      <c r="C1319" s="6" t="s">
        <v>727</v>
      </c>
      <c r="D1319" s="6" t="s">
        <v>36</v>
      </c>
      <c r="E1319" s="6" t="s">
        <v>28</v>
      </c>
      <c r="F1319" s="6" t="str">
        <f>IF(E1319="","Unknown",E1319)</f>
        <v>Mobile</v>
      </c>
      <c r="G1319" s="6" t="s">
        <v>33</v>
      </c>
      <c r="H1319" s="6" t="str">
        <f>IF(G1319="","Unknown",G1319)</f>
        <v>Paid Search</v>
      </c>
      <c r="I1319" s="6" t="s">
        <v>30</v>
      </c>
      <c r="J1319" s="6">
        <v>1</v>
      </c>
      <c r="K1319" s="6">
        <v>0</v>
      </c>
      <c r="L1319" s="6">
        <v>0</v>
      </c>
      <c r="M1319" s="6">
        <v>0</v>
      </c>
      <c r="N1319" s="6">
        <v>0</v>
      </c>
      <c r="O1319" s="6">
        <v>0</v>
      </c>
      <c r="P1319" s="6">
        <f>IF(O1319&gt;0,1,0)</f>
        <v>0</v>
      </c>
      <c r="Q1319" s="6">
        <v>0</v>
      </c>
      <c r="S1319" s="6">
        <v>73.900000000000006</v>
      </c>
      <c r="T1319" s="6">
        <f>IF(S1319="",MEDIAN($S$2:$S$1409),S1319)</f>
        <v>73.900000000000006</v>
      </c>
    </row>
    <row r="1320" spans="1:20" ht="15" customHeight="1">
      <c r="A1320" s="6" t="s">
        <v>1355</v>
      </c>
      <c r="B1320" s="7">
        <v>45797</v>
      </c>
      <c r="C1320" s="6" t="s">
        <v>727</v>
      </c>
      <c r="D1320" s="6" t="s">
        <v>32</v>
      </c>
      <c r="E1320" s="6" t="s">
        <v>28</v>
      </c>
      <c r="F1320" s="6" t="str">
        <f>IF(E1320="","Unknown",E1320)</f>
        <v>Mobile</v>
      </c>
      <c r="G1320" s="6" t="s">
        <v>29</v>
      </c>
      <c r="H1320" s="6" t="str">
        <f>IF(G1320="","Unknown",G1320)</f>
        <v>Organic</v>
      </c>
      <c r="I1320" s="6" t="s">
        <v>30</v>
      </c>
      <c r="J1320" s="6">
        <v>1</v>
      </c>
      <c r="K1320" s="6">
        <v>1</v>
      </c>
      <c r="L1320" s="6">
        <v>1</v>
      </c>
      <c r="M1320" s="6">
        <v>1</v>
      </c>
      <c r="N1320" s="6">
        <v>444.06</v>
      </c>
      <c r="O1320" s="6">
        <v>0</v>
      </c>
      <c r="P1320" s="6">
        <f>IF(O1320&gt;0,1,0)</f>
        <v>0</v>
      </c>
      <c r="Q1320" s="6">
        <v>0</v>
      </c>
      <c r="R1320" s="6">
        <v>9</v>
      </c>
      <c r="S1320" s="6">
        <v>99.9</v>
      </c>
      <c r="T1320" s="6">
        <f>IF(S1320="",MEDIAN($S$2:$S$1409),S1320)</f>
        <v>99.9</v>
      </c>
    </row>
    <row r="1321" spans="1:20" ht="15" customHeight="1">
      <c r="A1321" s="6" t="s">
        <v>1356</v>
      </c>
      <c r="B1321" s="7">
        <v>45790</v>
      </c>
      <c r="C1321" s="6" t="s">
        <v>727</v>
      </c>
      <c r="D1321" s="6" t="s">
        <v>36</v>
      </c>
      <c r="E1321" s="6" t="s">
        <v>28</v>
      </c>
      <c r="F1321" s="6" t="str">
        <f>IF(E1321="","Unknown",E1321)</f>
        <v>Mobile</v>
      </c>
      <c r="G1321" s="6" t="s">
        <v>33</v>
      </c>
      <c r="H1321" s="6" t="str">
        <f>IF(G1321="","Unknown",G1321)</f>
        <v>Paid Search</v>
      </c>
      <c r="I1321" s="6" t="s">
        <v>25</v>
      </c>
      <c r="J1321" s="6">
        <v>1</v>
      </c>
      <c r="K1321" s="6">
        <v>1</v>
      </c>
      <c r="L1321" s="6">
        <v>0</v>
      </c>
      <c r="M1321" s="6">
        <v>0</v>
      </c>
      <c r="N1321" s="6">
        <v>0</v>
      </c>
      <c r="O1321" s="6">
        <v>1</v>
      </c>
      <c r="P1321" s="6">
        <f>IF(O1321&gt;0,1,0)</f>
        <v>1</v>
      </c>
      <c r="Q1321" s="6">
        <v>0</v>
      </c>
      <c r="S1321" s="6">
        <v>62.4</v>
      </c>
      <c r="T1321" s="6">
        <f>IF(S1321="",MEDIAN($S$2:$S$1409),S1321)</f>
        <v>62.4</v>
      </c>
    </row>
    <row r="1322" spans="1:20" ht="15" customHeight="1">
      <c r="A1322" s="6" t="s">
        <v>1357</v>
      </c>
      <c r="B1322" s="7">
        <v>45805</v>
      </c>
      <c r="C1322" s="6" t="s">
        <v>727</v>
      </c>
      <c r="D1322" s="6" t="s">
        <v>36</v>
      </c>
      <c r="E1322" s="6" t="s">
        <v>23</v>
      </c>
      <c r="F1322" s="6" t="str">
        <f>IF(E1322="","Unknown",E1322)</f>
        <v>Desktop</v>
      </c>
      <c r="G1322" s="6" t="s">
        <v>33</v>
      </c>
      <c r="H1322" s="6" t="str">
        <f>IF(G1322="","Unknown",G1322)</f>
        <v>Paid Search</v>
      </c>
      <c r="I1322" s="6" t="s">
        <v>25</v>
      </c>
      <c r="J1322" s="6">
        <v>1</v>
      </c>
      <c r="K1322" s="6">
        <v>0</v>
      </c>
      <c r="L1322" s="6">
        <v>0</v>
      </c>
      <c r="M1322" s="6">
        <v>0</v>
      </c>
      <c r="N1322" s="6">
        <v>0</v>
      </c>
      <c r="O1322" s="6">
        <v>0</v>
      </c>
      <c r="P1322" s="6">
        <f>IF(O1322&gt;0,1,0)</f>
        <v>0</v>
      </c>
      <c r="Q1322" s="6">
        <v>0</v>
      </c>
      <c r="S1322" s="6">
        <v>46.1</v>
      </c>
      <c r="T1322" s="6">
        <f>IF(S1322="",MEDIAN($S$2:$S$1409),S1322)</f>
        <v>46.1</v>
      </c>
    </row>
    <row r="1323" spans="1:20" ht="15" customHeight="1">
      <c r="A1323" s="6" t="s">
        <v>1358</v>
      </c>
      <c r="B1323" s="7">
        <v>45735</v>
      </c>
      <c r="C1323" s="6" t="s">
        <v>727</v>
      </c>
      <c r="D1323" s="6" t="s">
        <v>27</v>
      </c>
      <c r="E1323" s="6" t="s">
        <v>28</v>
      </c>
      <c r="F1323" s="6" t="str">
        <f>IF(E1323="","Unknown",E1323)</f>
        <v>Mobile</v>
      </c>
      <c r="G1323" s="6" t="s">
        <v>29</v>
      </c>
      <c r="H1323" s="6" t="str">
        <f>IF(G1323="","Unknown",G1323)</f>
        <v>Organic</v>
      </c>
      <c r="I1323" s="6" t="s">
        <v>30</v>
      </c>
      <c r="J1323" s="6">
        <v>1</v>
      </c>
      <c r="K1323" s="6">
        <v>1</v>
      </c>
      <c r="L1323" s="6">
        <v>1</v>
      </c>
      <c r="M1323" s="6">
        <v>1</v>
      </c>
      <c r="N1323" s="6">
        <v>2660.21</v>
      </c>
      <c r="O1323" s="6">
        <v>0</v>
      </c>
      <c r="P1323" s="6">
        <f>IF(O1323&gt;0,1,0)</f>
        <v>0</v>
      </c>
      <c r="Q1323" s="6">
        <v>0</v>
      </c>
      <c r="R1323" s="6">
        <v>3</v>
      </c>
      <c r="S1323" s="6">
        <v>73.900000000000006</v>
      </c>
      <c r="T1323" s="6">
        <f>IF(S1323="",MEDIAN($S$2:$S$1409),S1323)</f>
        <v>73.900000000000006</v>
      </c>
    </row>
    <row r="1324" spans="1:20" ht="15" customHeight="1">
      <c r="A1324" s="6" t="s">
        <v>1359</v>
      </c>
      <c r="B1324" s="7">
        <v>45691</v>
      </c>
      <c r="C1324" s="6" t="s">
        <v>727</v>
      </c>
      <c r="D1324" s="6" t="s">
        <v>22</v>
      </c>
      <c r="E1324" s="6" t="s">
        <v>28</v>
      </c>
      <c r="F1324" s="6" t="str">
        <f>IF(E1324="","Unknown",E1324)</f>
        <v>Mobile</v>
      </c>
      <c r="G1324" s="6" t="s">
        <v>24</v>
      </c>
      <c r="H1324" s="6" t="str">
        <f>IF(G1324="","Unknown",G1324)</f>
        <v>Email</v>
      </c>
      <c r="I1324" s="6" t="s">
        <v>34</v>
      </c>
      <c r="J1324" s="6">
        <v>0</v>
      </c>
      <c r="K1324" s="6">
        <v>0</v>
      </c>
      <c r="L1324" s="6">
        <v>0</v>
      </c>
      <c r="M1324" s="6">
        <v>0</v>
      </c>
      <c r="N1324" s="6">
        <v>0</v>
      </c>
      <c r="O1324" s="6">
        <v>0</v>
      </c>
      <c r="P1324" s="6">
        <f>IF(O1324&gt;0,1,0)</f>
        <v>0</v>
      </c>
      <c r="Q1324" s="6">
        <v>0</v>
      </c>
      <c r="S1324" s="6">
        <v>90</v>
      </c>
      <c r="T1324" s="6">
        <f>IF(S1324="",MEDIAN($S$2:$S$1409),S1324)</f>
        <v>90</v>
      </c>
    </row>
    <row r="1325" spans="1:20" ht="15" customHeight="1">
      <c r="A1325" s="6" t="s">
        <v>1360</v>
      </c>
      <c r="B1325" s="7">
        <v>45714</v>
      </c>
      <c r="C1325" s="6" t="s">
        <v>727</v>
      </c>
      <c r="D1325" s="6" t="s">
        <v>36</v>
      </c>
      <c r="E1325" s="6" t="s">
        <v>28</v>
      </c>
      <c r="F1325" s="6" t="str">
        <f>IF(E1325="","Unknown",E1325)</f>
        <v>Mobile</v>
      </c>
      <c r="G1325" s="6" t="s">
        <v>24</v>
      </c>
      <c r="H1325" s="6" t="str">
        <f>IF(G1325="","Unknown",G1325)</f>
        <v>Email</v>
      </c>
      <c r="I1325" s="6" t="s">
        <v>25</v>
      </c>
      <c r="J1325" s="6">
        <v>1</v>
      </c>
      <c r="K1325" s="6">
        <v>0</v>
      </c>
      <c r="L1325" s="6">
        <v>0</v>
      </c>
      <c r="M1325" s="6">
        <v>0</v>
      </c>
      <c r="N1325" s="6">
        <v>0</v>
      </c>
      <c r="O1325" s="6">
        <v>1</v>
      </c>
      <c r="P1325" s="6">
        <f>IF(O1325&gt;0,1,0)</f>
        <v>1</v>
      </c>
      <c r="Q1325" s="6">
        <v>0</v>
      </c>
      <c r="S1325" s="6">
        <v>68.8</v>
      </c>
      <c r="T1325" s="6">
        <f>IF(S1325="",MEDIAN($S$2:$S$1409),S1325)</f>
        <v>68.8</v>
      </c>
    </row>
    <row r="1326" spans="1:20" ht="15" customHeight="1">
      <c r="A1326" s="6" t="s">
        <v>1361</v>
      </c>
      <c r="B1326" s="7">
        <v>45683</v>
      </c>
      <c r="C1326" s="6" t="s">
        <v>727</v>
      </c>
      <c r="D1326" s="6" t="s">
        <v>27</v>
      </c>
      <c r="E1326" s="6" t="s">
        <v>28</v>
      </c>
      <c r="F1326" s="6" t="str">
        <f>IF(E1326="","Unknown",E1326)</f>
        <v>Mobile</v>
      </c>
      <c r="G1326" s="6" t="s">
        <v>33</v>
      </c>
      <c r="H1326" s="6" t="str">
        <f>IF(G1326="","Unknown",G1326)</f>
        <v>Paid Search</v>
      </c>
      <c r="I1326" s="6" t="s">
        <v>30</v>
      </c>
      <c r="J1326" s="6">
        <v>1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f>IF(O1326&gt;0,1,0)</f>
        <v>0</v>
      </c>
      <c r="Q1326" s="6">
        <v>0</v>
      </c>
      <c r="S1326" s="6">
        <v>66.599999999999994</v>
      </c>
      <c r="T1326" s="6">
        <f>IF(S1326="",MEDIAN($S$2:$S$1409),S1326)</f>
        <v>66.599999999999994</v>
      </c>
    </row>
    <row r="1327" spans="1:20" ht="15" customHeight="1">
      <c r="A1327" s="6" t="s">
        <v>1362</v>
      </c>
      <c r="B1327" s="7">
        <v>45790</v>
      </c>
      <c r="C1327" s="6" t="s">
        <v>727</v>
      </c>
      <c r="D1327" s="6" t="s">
        <v>22</v>
      </c>
      <c r="E1327" s="6" t="s">
        <v>28</v>
      </c>
      <c r="F1327" s="6" t="str">
        <f>IF(E1327="","Unknown",E1327)</f>
        <v>Mobile</v>
      </c>
      <c r="G1327" s="6" t="s">
        <v>29</v>
      </c>
      <c r="H1327" s="6" t="str">
        <f>IF(G1327="","Unknown",G1327)</f>
        <v>Organic</v>
      </c>
      <c r="I1327" s="6" t="s">
        <v>34</v>
      </c>
      <c r="J1327" s="6">
        <v>1</v>
      </c>
      <c r="K1327" s="6">
        <v>0</v>
      </c>
      <c r="L1327" s="6">
        <v>0</v>
      </c>
      <c r="M1327" s="6">
        <v>0</v>
      </c>
      <c r="N1327" s="6">
        <v>0</v>
      </c>
      <c r="O1327" s="6">
        <v>0</v>
      </c>
      <c r="P1327" s="6">
        <f>IF(O1327&gt;0,1,0)</f>
        <v>0</v>
      </c>
      <c r="Q1327" s="6">
        <v>0</v>
      </c>
      <c r="S1327" s="6">
        <v>49.7</v>
      </c>
      <c r="T1327" s="6">
        <f>IF(S1327="",MEDIAN($S$2:$S$1409),S1327)</f>
        <v>49.7</v>
      </c>
    </row>
    <row r="1328" spans="1:20" ht="15" customHeight="1">
      <c r="A1328" s="6" t="s">
        <v>1363</v>
      </c>
      <c r="B1328" s="7">
        <v>45690</v>
      </c>
      <c r="C1328" s="6" t="s">
        <v>727</v>
      </c>
      <c r="D1328" s="6" t="s">
        <v>36</v>
      </c>
      <c r="E1328" s="6" t="s">
        <v>28</v>
      </c>
      <c r="F1328" s="6" t="str">
        <f>IF(E1328="","Unknown",E1328)</f>
        <v>Mobile</v>
      </c>
      <c r="G1328" s="6" t="s">
        <v>33</v>
      </c>
      <c r="H1328" s="6" t="str">
        <f>IF(G1328="","Unknown",G1328)</f>
        <v>Paid Search</v>
      </c>
      <c r="I1328" s="6" t="s">
        <v>25</v>
      </c>
      <c r="J1328" s="6">
        <v>0</v>
      </c>
      <c r="K1328" s="6">
        <v>0</v>
      </c>
      <c r="L1328" s="6">
        <v>0</v>
      </c>
      <c r="M1328" s="6">
        <v>0</v>
      </c>
      <c r="N1328" s="6">
        <v>0</v>
      </c>
      <c r="O1328" s="6">
        <v>0</v>
      </c>
      <c r="P1328" s="6">
        <f>IF(O1328&gt;0,1,0)</f>
        <v>0</v>
      </c>
      <c r="Q1328" s="6">
        <v>0</v>
      </c>
      <c r="S1328" s="6">
        <v>67.900000000000006</v>
      </c>
      <c r="T1328" s="6">
        <f>IF(S1328="",MEDIAN($S$2:$S$1409),S1328)</f>
        <v>67.900000000000006</v>
      </c>
    </row>
    <row r="1329" spans="1:20" ht="15" customHeight="1">
      <c r="A1329" s="6" t="s">
        <v>1364</v>
      </c>
      <c r="B1329" s="7">
        <v>45777</v>
      </c>
      <c r="C1329" s="6" t="s">
        <v>727</v>
      </c>
      <c r="D1329" s="6" t="s">
        <v>27</v>
      </c>
      <c r="E1329" s="6" t="s">
        <v>28</v>
      </c>
      <c r="F1329" s="6" t="str">
        <f>IF(E1329="","Unknown",E1329)</f>
        <v>Mobile</v>
      </c>
      <c r="G1329" s="6"/>
      <c r="H1329" s="6" t="str">
        <f>IF(G1329="","Unknown",G1329)</f>
        <v>Unknown</v>
      </c>
      <c r="I1329" s="6" t="s">
        <v>25</v>
      </c>
      <c r="J1329" s="6">
        <v>0</v>
      </c>
      <c r="K1329" s="6">
        <v>0</v>
      </c>
      <c r="L1329" s="6">
        <v>0</v>
      </c>
      <c r="M1329" s="6">
        <v>0</v>
      </c>
      <c r="N1329" s="6">
        <v>0</v>
      </c>
      <c r="O1329" s="6">
        <v>0</v>
      </c>
      <c r="P1329" s="6">
        <f>IF(O1329&gt;0,1,0)</f>
        <v>0</v>
      </c>
      <c r="Q1329" s="6">
        <v>0</v>
      </c>
      <c r="S1329" s="6">
        <v>66.900000000000006</v>
      </c>
      <c r="T1329" s="6">
        <f>IF(S1329="",MEDIAN($S$2:$S$1409),S1329)</f>
        <v>66.900000000000006</v>
      </c>
    </row>
    <row r="1330" spans="1:20" ht="15" customHeight="1">
      <c r="A1330" s="6" t="s">
        <v>1365</v>
      </c>
      <c r="B1330" s="7">
        <v>45745</v>
      </c>
      <c r="C1330" s="6" t="s">
        <v>727</v>
      </c>
      <c r="D1330" s="6" t="s">
        <v>32</v>
      </c>
      <c r="E1330" s="6" t="s">
        <v>28</v>
      </c>
      <c r="F1330" s="6" t="str">
        <f>IF(E1330="","Unknown",E1330)</f>
        <v>Mobile</v>
      </c>
      <c r="G1330" s="6" t="s">
        <v>29</v>
      </c>
      <c r="H1330" s="6" t="str">
        <f>IF(G1330="","Unknown",G1330)</f>
        <v>Organic</v>
      </c>
      <c r="I1330" s="6" t="s">
        <v>30</v>
      </c>
      <c r="J1330" s="6">
        <v>0</v>
      </c>
      <c r="K1330" s="6">
        <v>0</v>
      </c>
      <c r="L1330" s="6">
        <v>0</v>
      </c>
      <c r="M1330" s="6">
        <v>0</v>
      </c>
      <c r="N1330" s="6">
        <v>0</v>
      </c>
      <c r="O1330" s="6">
        <v>0</v>
      </c>
      <c r="P1330" s="6">
        <f>IF(O1330&gt;0,1,0)</f>
        <v>0</v>
      </c>
      <c r="Q1330" s="6">
        <v>0</v>
      </c>
      <c r="S1330" s="6">
        <v>46.1</v>
      </c>
      <c r="T1330" s="6">
        <f>IF(S1330="",MEDIAN($S$2:$S$1409),S1330)</f>
        <v>46.1</v>
      </c>
    </row>
    <row r="1331" spans="1:20" ht="15" customHeight="1">
      <c r="A1331" s="6" t="s">
        <v>1366</v>
      </c>
      <c r="B1331" s="7">
        <v>45756</v>
      </c>
      <c r="C1331" s="6" t="s">
        <v>727</v>
      </c>
      <c r="D1331" s="6" t="s">
        <v>27</v>
      </c>
      <c r="E1331" s="6" t="s">
        <v>23</v>
      </c>
      <c r="F1331" s="6" t="str">
        <f>IF(E1331="","Unknown",E1331)</f>
        <v>Desktop</v>
      </c>
      <c r="G1331" s="6" t="s">
        <v>43</v>
      </c>
      <c r="H1331" s="6" t="str">
        <f>IF(G1331="","Unknown",G1331)</f>
        <v>Referral</v>
      </c>
      <c r="I1331" s="6" t="s">
        <v>34</v>
      </c>
      <c r="J1331" s="6">
        <v>1</v>
      </c>
      <c r="K1331" s="6">
        <v>0</v>
      </c>
      <c r="L1331" s="6">
        <v>0</v>
      </c>
      <c r="M1331" s="6">
        <v>0</v>
      </c>
      <c r="N1331" s="6">
        <v>0</v>
      </c>
      <c r="O1331" s="6">
        <v>0</v>
      </c>
      <c r="P1331" s="6">
        <f>IF(O1331&gt;0,1,0)</f>
        <v>0</v>
      </c>
      <c r="Q1331" s="6">
        <v>0</v>
      </c>
      <c r="S1331" s="6">
        <v>85.6</v>
      </c>
      <c r="T1331" s="6">
        <f>IF(S1331="",MEDIAN($S$2:$S$1409),S1331)</f>
        <v>85.6</v>
      </c>
    </row>
    <row r="1332" spans="1:20" ht="15" customHeight="1">
      <c r="A1332" s="6" t="s">
        <v>1367</v>
      </c>
      <c r="B1332" s="7">
        <v>45679</v>
      </c>
      <c r="C1332" s="6" t="s">
        <v>727</v>
      </c>
      <c r="D1332" s="6" t="s">
        <v>36</v>
      </c>
      <c r="E1332" s="6" t="s">
        <v>38</v>
      </c>
      <c r="F1332" s="6" t="str">
        <f>IF(E1332="","Unknown",E1332)</f>
        <v>Tablet</v>
      </c>
      <c r="G1332" s="6" t="s">
        <v>29</v>
      </c>
      <c r="H1332" s="6" t="str">
        <f>IF(G1332="","Unknown",G1332)</f>
        <v>Organic</v>
      </c>
      <c r="I1332" s="6" t="s">
        <v>30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f>IF(O1332&gt;0,1,0)</f>
        <v>0</v>
      </c>
      <c r="Q1332" s="6">
        <v>0</v>
      </c>
      <c r="S1332" s="6">
        <v>39.6</v>
      </c>
      <c r="T1332" s="6">
        <f>IF(S1332="",MEDIAN($S$2:$S$1409),S1332)</f>
        <v>39.6</v>
      </c>
    </row>
    <row r="1333" spans="1:20" ht="15" customHeight="1">
      <c r="A1333" s="6" t="s">
        <v>1368</v>
      </c>
      <c r="B1333" s="7">
        <v>45684</v>
      </c>
      <c r="C1333" s="6" t="s">
        <v>727</v>
      </c>
      <c r="D1333" s="6" t="s">
        <v>36</v>
      </c>
      <c r="E1333" s="6" t="s">
        <v>28</v>
      </c>
      <c r="F1333" s="6" t="str">
        <f>IF(E1333="","Unknown",E1333)</f>
        <v>Mobile</v>
      </c>
      <c r="G1333" s="6" t="s">
        <v>29</v>
      </c>
      <c r="H1333" s="6" t="str">
        <f>IF(G1333="","Unknown",G1333)</f>
        <v>Organic</v>
      </c>
      <c r="I1333" s="6" t="s">
        <v>25</v>
      </c>
      <c r="J1333" s="6">
        <v>1</v>
      </c>
      <c r="K1333" s="6">
        <v>0</v>
      </c>
      <c r="L1333" s="6">
        <v>0</v>
      </c>
      <c r="M1333" s="6">
        <v>0</v>
      </c>
      <c r="N1333" s="6">
        <v>0</v>
      </c>
      <c r="O1333" s="6">
        <v>0</v>
      </c>
      <c r="P1333" s="6">
        <f>IF(O1333&gt;0,1,0)</f>
        <v>0</v>
      </c>
      <c r="Q1333" s="6">
        <v>0</v>
      </c>
      <c r="S1333" s="6">
        <v>52.5</v>
      </c>
      <c r="T1333" s="6">
        <f>IF(S1333="",MEDIAN($S$2:$S$1409),S1333)</f>
        <v>52.5</v>
      </c>
    </row>
    <row r="1334" spans="1:20" ht="15" customHeight="1">
      <c r="A1334" s="6" t="s">
        <v>1369</v>
      </c>
      <c r="B1334" s="7">
        <v>45679</v>
      </c>
      <c r="C1334" s="6" t="s">
        <v>727</v>
      </c>
      <c r="D1334" s="6" t="s">
        <v>32</v>
      </c>
      <c r="E1334" s="6" t="s">
        <v>28</v>
      </c>
      <c r="F1334" s="6" t="str">
        <f>IF(E1334="","Unknown",E1334)</f>
        <v>Mobile</v>
      </c>
      <c r="G1334" s="6" t="s">
        <v>45</v>
      </c>
      <c r="H1334" s="6" t="str">
        <f>IF(G1334="","Unknown",G1334)</f>
        <v>Social</v>
      </c>
      <c r="I1334" s="6" t="s">
        <v>34</v>
      </c>
      <c r="J1334" s="6">
        <v>1</v>
      </c>
      <c r="K1334" s="6"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f>IF(O1334&gt;0,1,0)</f>
        <v>0</v>
      </c>
      <c r="Q1334" s="6">
        <v>0</v>
      </c>
      <c r="S1334" s="6">
        <v>73.5</v>
      </c>
      <c r="T1334" s="6">
        <f>IF(S1334="",MEDIAN($S$2:$S$1409),S1334)</f>
        <v>73.5</v>
      </c>
    </row>
    <row r="1335" spans="1:20" ht="15" customHeight="1">
      <c r="A1335" s="6" t="s">
        <v>1370</v>
      </c>
      <c r="B1335" s="7">
        <v>45663</v>
      </c>
      <c r="C1335" s="6" t="s">
        <v>727</v>
      </c>
      <c r="D1335" s="6" t="s">
        <v>27</v>
      </c>
      <c r="E1335" s="6" t="s">
        <v>23</v>
      </c>
      <c r="F1335" s="6" t="str">
        <f>IF(E1335="","Unknown",E1335)</f>
        <v>Desktop</v>
      </c>
      <c r="G1335" s="6" t="s">
        <v>33</v>
      </c>
      <c r="H1335" s="6" t="str">
        <f>IF(G1335="","Unknown",G1335)</f>
        <v>Paid Search</v>
      </c>
      <c r="I1335" s="6" t="s">
        <v>30</v>
      </c>
      <c r="J1335" s="6">
        <v>0</v>
      </c>
      <c r="K1335" s="6">
        <v>0</v>
      </c>
      <c r="L1335" s="6">
        <v>0</v>
      </c>
      <c r="M1335" s="6">
        <v>0</v>
      </c>
      <c r="N1335" s="6">
        <v>0</v>
      </c>
      <c r="O1335" s="6">
        <v>0</v>
      </c>
      <c r="P1335" s="6">
        <f>IF(O1335&gt;0,1,0)</f>
        <v>0</v>
      </c>
      <c r="Q1335" s="6">
        <v>0</v>
      </c>
      <c r="S1335" s="6">
        <v>62.5</v>
      </c>
      <c r="T1335" s="6">
        <f>IF(S1335="",MEDIAN($S$2:$S$1409),S1335)</f>
        <v>62.5</v>
      </c>
    </row>
    <row r="1336" spans="1:20" ht="15" customHeight="1">
      <c r="A1336" s="6" t="s">
        <v>1371</v>
      </c>
      <c r="B1336" s="7">
        <v>45763</v>
      </c>
      <c r="C1336" s="6" t="s">
        <v>727</v>
      </c>
      <c r="D1336" s="6" t="s">
        <v>36</v>
      </c>
      <c r="E1336" s="6"/>
      <c r="F1336" s="6" t="str">
        <f>IF(E1336="","Unknown",E1336)</f>
        <v>Unknown</v>
      </c>
      <c r="G1336" s="6" t="s">
        <v>29</v>
      </c>
      <c r="H1336" s="6" t="str">
        <f>IF(G1336="","Unknown",G1336)</f>
        <v>Organic</v>
      </c>
      <c r="I1336" s="6" t="s">
        <v>30</v>
      </c>
      <c r="J1336" s="6">
        <v>1</v>
      </c>
      <c r="K1336" s="6"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f>IF(O1336&gt;0,1,0)</f>
        <v>0</v>
      </c>
      <c r="Q1336" s="6">
        <v>0</v>
      </c>
      <c r="S1336" s="6">
        <v>76.900000000000006</v>
      </c>
      <c r="T1336" s="6">
        <f>IF(S1336="",MEDIAN($S$2:$S$1409),S1336)</f>
        <v>76.900000000000006</v>
      </c>
    </row>
    <row r="1337" spans="1:20" ht="15" customHeight="1">
      <c r="A1337" s="6" t="s">
        <v>1372</v>
      </c>
      <c r="B1337" s="7">
        <v>45761</v>
      </c>
      <c r="C1337" s="6" t="s">
        <v>727</v>
      </c>
      <c r="D1337" s="6" t="s">
        <v>36</v>
      </c>
      <c r="E1337" s="6" t="s">
        <v>28</v>
      </c>
      <c r="F1337" s="6" t="str">
        <f>IF(E1337="","Unknown",E1337)</f>
        <v>Mobile</v>
      </c>
      <c r="G1337" s="6" t="s">
        <v>29</v>
      </c>
      <c r="H1337" s="6" t="str">
        <f>IF(G1337="","Unknown",G1337)</f>
        <v>Organic</v>
      </c>
      <c r="I1337" s="6" t="s">
        <v>30</v>
      </c>
      <c r="J1337" s="6">
        <v>1</v>
      </c>
      <c r="K1337" s="6">
        <v>0</v>
      </c>
      <c r="L1337" s="6">
        <v>0</v>
      </c>
      <c r="M1337" s="6">
        <v>0</v>
      </c>
      <c r="N1337" s="6">
        <v>0</v>
      </c>
      <c r="O1337" s="6">
        <v>0</v>
      </c>
      <c r="P1337" s="6">
        <f>IF(O1337&gt;0,1,0)</f>
        <v>0</v>
      </c>
      <c r="Q1337" s="6">
        <v>0</v>
      </c>
      <c r="S1337" s="6">
        <v>51.4</v>
      </c>
      <c r="T1337" s="6">
        <f>IF(S1337="",MEDIAN($S$2:$S$1409),S1337)</f>
        <v>51.4</v>
      </c>
    </row>
    <row r="1338" spans="1:20" ht="15" customHeight="1">
      <c r="A1338" s="6" t="s">
        <v>1373</v>
      </c>
      <c r="B1338" s="7">
        <v>45710</v>
      </c>
      <c r="C1338" s="6" t="s">
        <v>727</v>
      </c>
      <c r="D1338" s="6" t="s">
        <v>27</v>
      </c>
      <c r="E1338" s="6" t="s">
        <v>28</v>
      </c>
      <c r="F1338" s="6" t="str">
        <f>IF(E1338="","Unknown",E1338)</f>
        <v>Mobile</v>
      </c>
      <c r="G1338" s="6" t="s">
        <v>33</v>
      </c>
      <c r="H1338" s="6" t="str">
        <f>IF(G1338="","Unknown",G1338)</f>
        <v>Paid Search</v>
      </c>
      <c r="I1338" s="6" t="s">
        <v>25</v>
      </c>
      <c r="J1338" s="6">
        <v>1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f>IF(O1338&gt;0,1,0)</f>
        <v>0</v>
      </c>
      <c r="Q1338" s="6">
        <v>0</v>
      </c>
      <c r="S1338" s="6">
        <v>59.3</v>
      </c>
      <c r="T1338" s="6">
        <f>IF(S1338="",MEDIAN($S$2:$S$1409),S1338)</f>
        <v>59.3</v>
      </c>
    </row>
    <row r="1339" spans="1:20" ht="15" customHeight="1">
      <c r="A1339" s="6" t="s">
        <v>1374</v>
      </c>
      <c r="B1339" s="7">
        <v>45725</v>
      </c>
      <c r="C1339" s="6" t="s">
        <v>727</v>
      </c>
      <c r="D1339" s="6" t="s">
        <v>22</v>
      </c>
      <c r="E1339" s="6" t="s">
        <v>28</v>
      </c>
      <c r="F1339" s="6" t="str">
        <f>IF(E1339="","Unknown",E1339)</f>
        <v>Mobile</v>
      </c>
      <c r="G1339" s="6" t="s">
        <v>29</v>
      </c>
      <c r="H1339" s="6" t="str">
        <f>IF(G1339="","Unknown",G1339)</f>
        <v>Organic</v>
      </c>
      <c r="I1339" s="6" t="s">
        <v>25</v>
      </c>
      <c r="J1339" s="6">
        <v>0</v>
      </c>
      <c r="K1339" s="6">
        <v>0</v>
      </c>
      <c r="L1339" s="6">
        <v>0</v>
      </c>
      <c r="M1339" s="6">
        <v>0</v>
      </c>
      <c r="N1339" s="6">
        <v>0</v>
      </c>
      <c r="O1339" s="6">
        <v>0</v>
      </c>
      <c r="P1339" s="6">
        <f>IF(O1339&gt;0,1,0)</f>
        <v>0</v>
      </c>
      <c r="Q1339" s="6">
        <v>0</v>
      </c>
      <c r="S1339" s="6">
        <v>74.900000000000006</v>
      </c>
      <c r="T1339" s="6">
        <f>IF(S1339="",MEDIAN($S$2:$S$1409),S1339)</f>
        <v>74.900000000000006</v>
      </c>
    </row>
    <row r="1340" spans="1:20" ht="15" customHeight="1">
      <c r="A1340" s="6" t="s">
        <v>1375</v>
      </c>
      <c r="B1340" s="7">
        <v>45767</v>
      </c>
      <c r="C1340" s="6" t="s">
        <v>727</v>
      </c>
      <c r="D1340" s="6" t="s">
        <v>27</v>
      </c>
      <c r="E1340" s="6" t="s">
        <v>23</v>
      </c>
      <c r="F1340" s="6" t="str">
        <f>IF(E1340="","Unknown",E1340)</f>
        <v>Desktop</v>
      </c>
      <c r="G1340" s="6" t="s">
        <v>29</v>
      </c>
      <c r="H1340" s="6" t="str">
        <f>IF(G1340="","Unknown",G1340)</f>
        <v>Organic</v>
      </c>
      <c r="I1340" s="6" t="s">
        <v>30</v>
      </c>
      <c r="J1340" s="6">
        <v>1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f>IF(O1340&gt;0,1,0)</f>
        <v>0</v>
      </c>
      <c r="Q1340" s="6">
        <v>0</v>
      </c>
      <c r="S1340" s="6">
        <v>67</v>
      </c>
      <c r="T1340" s="6">
        <f>IF(S1340="",MEDIAN($S$2:$S$1409),S1340)</f>
        <v>67</v>
      </c>
    </row>
    <row r="1341" spans="1:20" ht="15" customHeight="1">
      <c r="A1341" s="6" t="s">
        <v>1376</v>
      </c>
      <c r="B1341" s="7">
        <v>45726</v>
      </c>
      <c r="C1341" s="6" t="s">
        <v>727</v>
      </c>
      <c r="D1341" s="6" t="s">
        <v>36</v>
      </c>
      <c r="E1341" s="6" t="s">
        <v>28</v>
      </c>
      <c r="F1341" s="6" t="str">
        <f>IF(E1341="","Unknown",E1341)</f>
        <v>Mobile</v>
      </c>
      <c r="G1341" s="6" t="s">
        <v>24</v>
      </c>
      <c r="H1341" s="6" t="str">
        <f>IF(G1341="","Unknown",G1341)</f>
        <v>Email</v>
      </c>
      <c r="I1341" s="6" t="s">
        <v>30</v>
      </c>
      <c r="J1341" s="6">
        <v>0</v>
      </c>
      <c r="K1341" s="6">
        <v>0</v>
      </c>
      <c r="L1341" s="6">
        <v>0</v>
      </c>
      <c r="M1341" s="6">
        <v>0</v>
      </c>
      <c r="N1341" s="6">
        <v>0</v>
      </c>
      <c r="O1341" s="6">
        <v>0</v>
      </c>
      <c r="P1341" s="6">
        <f>IF(O1341&gt;0,1,0)</f>
        <v>0</v>
      </c>
      <c r="Q1341" s="6">
        <v>0</v>
      </c>
      <c r="S1341" s="6">
        <v>63.6</v>
      </c>
      <c r="T1341" s="6">
        <f>IF(S1341="",MEDIAN($S$2:$S$1409),S1341)</f>
        <v>63.6</v>
      </c>
    </row>
    <row r="1342" spans="1:20" ht="15" customHeight="1">
      <c r="A1342" s="6" t="s">
        <v>1377</v>
      </c>
      <c r="B1342" s="7">
        <v>45709</v>
      </c>
      <c r="C1342" s="6" t="s">
        <v>727</v>
      </c>
      <c r="D1342" s="6" t="s">
        <v>36</v>
      </c>
      <c r="E1342" s="6" t="s">
        <v>28</v>
      </c>
      <c r="F1342" s="6" t="str">
        <f>IF(E1342="","Unknown",E1342)</f>
        <v>Mobile</v>
      </c>
      <c r="G1342" s="6" t="s">
        <v>24</v>
      </c>
      <c r="H1342" s="6" t="str">
        <f>IF(G1342="","Unknown",G1342)</f>
        <v>Email</v>
      </c>
      <c r="I1342" s="6" t="s">
        <v>30</v>
      </c>
      <c r="J1342" s="6">
        <v>1</v>
      </c>
      <c r="K1342" s="6">
        <v>1</v>
      </c>
      <c r="L1342" s="6">
        <v>0</v>
      </c>
      <c r="M1342" s="6">
        <v>0</v>
      </c>
      <c r="N1342" s="6">
        <v>0</v>
      </c>
      <c r="O1342" s="6">
        <v>1</v>
      </c>
      <c r="P1342" s="6">
        <f>IF(O1342&gt;0,1,0)</f>
        <v>1</v>
      </c>
      <c r="Q1342" s="6">
        <v>0</v>
      </c>
      <c r="S1342" s="6">
        <v>58.4</v>
      </c>
      <c r="T1342" s="6">
        <f>IF(S1342="",MEDIAN($S$2:$S$1409),S1342)</f>
        <v>58.4</v>
      </c>
    </row>
    <row r="1343" spans="1:20" ht="15" customHeight="1">
      <c r="A1343" s="6" t="s">
        <v>1378</v>
      </c>
      <c r="B1343" s="7">
        <v>45663</v>
      </c>
      <c r="C1343" s="6" t="s">
        <v>727</v>
      </c>
      <c r="D1343" s="6" t="s">
        <v>22</v>
      </c>
      <c r="E1343" s="6" t="s">
        <v>23</v>
      </c>
      <c r="F1343" s="6" t="str">
        <f>IF(E1343="","Unknown",E1343)</f>
        <v>Desktop</v>
      </c>
      <c r="G1343" s="6" t="s">
        <v>45</v>
      </c>
      <c r="H1343" s="6" t="str">
        <f>IF(G1343="","Unknown",G1343)</f>
        <v>Social</v>
      </c>
      <c r="I1343" s="6" t="s">
        <v>30</v>
      </c>
      <c r="J1343" s="6">
        <v>1</v>
      </c>
      <c r="K1343" s="6"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f>IF(O1343&gt;0,1,0)</f>
        <v>0</v>
      </c>
      <c r="Q1343" s="6">
        <v>0</v>
      </c>
      <c r="S1343" s="6">
        <v>36.799999999999997</v>
      </c>
      <c r="T1343" s="6">
        <f>IF(S1343="",MEDIAN($S$2:$S$1409),S1343)</f>
        <v>36.799999999999997</v>
      </c>
    </row>
    <row r="1344" spans="1:20" ht="15" customHeight="1">
      <c r="A1344" s="6" t="s">
        <v>1379</v>
      </c>
      <c r="B1344" s="7">
        <v>45764</v>
      </c>
      <c r="C1344" s="6" t="s">
        <v>727</v>
      </c>
      <c r="D1344" s="6" t="s">
        <v>36</v>
      </c>
      <c r="E1344" s="6" t="s">
        <v>28</v>
      </c>
      <c r="F1344" s="6" t="str">
        <f>IF(E1344="","Unknown",E1344)</f>
        <v>Mobile</v>
      </c>
      <c r="G1344" s="6" t="s">
        <v>29</v>
      </c>
      <c r="H1344" s="6" t="str">
        <f>IF(G1344="","Unknown",G1344)</f>
        <v>Organic</v>
      </c>
      <c r="I1344" s="6" t="s">
        <v>34</v>
      </c>
      <c r="J1344" s="6">
        <v>1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f>IF(O1344&gt;0,1,0)</f>
        <v>0</v>
      </c>
      <c r="Q1344" s="6">
        <v>0</v>
      </c>
      <c r="S1344" s="6">
        <v>71.599999999999994</v>
      </c>
      <c r="T1344" s="6">
        <f>IF(S1344="",MEDIAN($S$2:$S$1409),S1344)</f>
        <v>71.599999999999994</v>
      </c>
    </row>
    <row r="1345" spans="1:20" ht="15" customHeight="1">
      <c r="A1345" s="6" t="s">
        <v>1380</v>
      </c>
      <c r="B1345" s="7">
        <v>45800</v>
      </c>
      <c r="C1345" s="6" t="s">
        <v>727</v>
      </c>
      <c r="D1345" s="6" t="s">
        <v>36</v>
      </c>
      <c r="E1345" s="6" t="s">
        <v>28</v>
      </c>
      <c r="F1345" s="6" t="str">
        <f>IF(E1345="","Unknown",E1345)</f>
        <v>Mobile</v>
      </c>
      <c r="G1345" s="6" t="s">
        <v>24</v>
      </c>
      <c r="H1345" s="6" t="str">
        <f>IF(G1345="","Unknown",G1345)</f>
        <v>Email</v>
      </c>
      <c r="I1345" s="6" t="s">
        <v>25</v>
      </c>
      <c r="J1345" s="6">
        <v>1</v>
      </c>
      <c r="K1345" s="6">
        <v>1</v>
      </c>
      <c r="L1345" s="6">
        <v>0</v>
      </c>
      <c r="M1345" s="6">
        <v>0</v>
      </c>
      <c r="N1345" s="6">
        <v>0</v>
      </c>
      <c r="O1345" s="6">
        <v>1</v>
      </c>
      <c r="P1345" s="6">
        <f>IF(O1345&gt;0,1,0)</f>
        <v>1</v>
      </c>
      <c r="Q1345" s="6">
        <v>0</v>
      </c>
      <c r="S1345" s="6">
        <v>79.7</v>
      </c>
      <c r="T1345" s="6">
        <f>IF(S1345="",MEDIAN($S$2:$S$1409),S1345)</f>
        <v>79.7</v>
      </c>
    </row>
    <row r="1346" spans="1:20" ht="15" customHeight="1">
      <c r="A1346" s="6" t="s">
        <v>1381</v>
      </c>
      <c r="B1346" s="7">
        <v>45730</v>
      </c>
      <c r="C1346" s="6" t="s">
        <v>727</v>
      </c>
      <c r="D1346" s="6" t="s">
        <v>27</v>
      </c>
      <c r="E1346" s="6" t="s">
        <v>23</v>
      </c>
      <c r="F1346" s="6" t="str">
        <f>IF(E1346="","Unknown",E1346)</f>
        <v>Desktop</v>
      </c>
      <c r="G1346" s="6" t="s">
        <v>29</v>
      </c>
      <c r="H1346" s="6" t="str">
        <f>IF(G1346="","Unknown",G1346)</f>
        <v>Organic</v>
      </c>
      <c r="I1346" s="6" t="s">
        <v>25</v>
      </c>
      <c r="J1346" s="6">
        <v>1</v>
      </c>
      <c r="K1346" s="6">
        <v>0</v>
      </c>
      <c r="L1346" s="6">
        <v>0</v>
      </c>
      <c r="M1346" s="6">
        <v>0</v>
      </c>
      <c r="N1346" s="6">
        <v>0</v>
      </c>
      <c r="O1346" s="6">
        <v>1</v>
      </c>
      <c r="P1346" s="6">
        <f>IF(O1346&gt;0,1,0)</f>
        <v>1</v>
      </c>
      <c r="Q1346" s="6">
        <v>0</v>
      </c>
      <c r="S1346" s="6">
        <v>56.5</v>
      </c>
      <c r="T1346" s="6">
        <f>IF(S1346="",MEDIAN($S$2:$S$1409),S1346)</f>
        <v>56.5</v>
      </c>
    </row>
    <row r="1347" spans="1:20" ht="15" customHeight="1">
      <c r="A1347" s="6" t="s">
        <v>1382</v>
      </c>
      <c r="B1347" s="7">
        <v>45768</v>
      </c>
      <c r="C1347" s="6" t="s">
        <v>727</v>
      </c>
      <c r="D1347" s="6" t="s">
        <v>22</v>
      </c>
      <c r="E1347" s="6" t="s">
        <v>28</v>
      </c>
      <c r="F1347" s="6" t="str">
        <f>IF(E1347="","Unknown",E1347)</f>
        <v>Mobile</v>
      </c>
      <c r="G1347" s="6" t="s">
        <v>45</v>
      </c>
      <c r="H1347" s="6" t="str">
        <f>IF(G1347="","Unknown",G1347)</f>
        <v>Social</v>
      </c>
      <c r="I1347" s="6" t="s">
        <v>34</v>
      </c>
      <c r="J1347" s="6">
        <v>1</v>
      </c>
      <c r="K1347" s="6"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f>IF(O1347&gt;0,1,0)</f>
        <v>0</v>
      </c>
      <c r="Q1347" s="6">
        <v>0</v>
      </c>
      <c r="S1347" s="6">
        <v>44.7</v>
      </c>
      <c r="T1347" s="6">
        <f>IF(S1347="",MEDIAN($S$2:$S$1409),S1347)</f>
        <v>44.7</v>
      </c>
    </row>
    <row r="1348" spans="1:20" ht="15" customHeight="1">
      <c r="A1348" s="6" t="s">
        <v>1383</v>
      </c>
      <c r="B1348" s="7">
        <v>45660</v>
      </c>
      <c r="C1348" s="6" t="s">
        <v>727</v>
      </c>
      <c r="D1348" s="6" t="s">
        <v>36</v>
      </c>
      <c r="E1348" s="6" t="s">
        <v>28</v>
      </c>
      <c r="F1348" s="6" t="str">
        <f>IF(E1348="","Unknown",E1348)</f>
        <v>Mobile</v>
      </c>
      <c r="G1348" s="6" t="s">
        <v>45</v>
      </c>
      <c r="H1348" s="6" t="str">
        <f>IF(G1348="","Unknown",G1348)</f>
        <v>Social</v>
      </c>
      <c r="I1348" s="6" t="s">
        <v>30</v>
      </c>
      <c r="J1348" s="6">
        <v>1</v>
      </c>
      <c r="K1348" s="6">
        <v>1</v>
      </c>
      <c r="L1348" s="6">
        <v>1</v>
      </c>
      <c r="M1348" s="6">
        <v>0</v>
      </c>
      <c r="N1348" s="6">
        <v>0</v>
      </c>
      <c r="O1348" s="6">
        <v>1</v>
      </c>
      <c r="P1348" s="6">
        <f>IF(O1348&gt;0,1,0)</f>
        <v>1</v>
      </c>
      <c r="Q1348" s="6">
        <v>0</v>
      </c>
      <c r="S1348" s="6">
        <v>66</v>
      </c>
      <c r="T1348" s="6">
        <f>IF(S1348="",MEDIAN($S$2:$S$1409),S1348)</f>
        <v>66</v>
      </c>
    </row>
    <row r="1349" spans="1:20" ht="15" customHeight="1">
      <c r="A1349" s="6" t="s">
        <v>1384</v>
      </c>
      <c r="B1349" s="7">
        <v>45786</v>
      </c>
      <c r="C1349" s="6" t="s">
        <v>727</v>
      </c>
      <c r="D1349" s="6" t="s">
        <v>22</v>
      </c>
      <c r="E1349" s="6" t="s">
        <v>23</v>
      </c>
      <c r="F1349" s="6" t="str">
        <f>IF(E1349="","Unknown",E1349)</f>
        <v>Desktop</v>
      </c>
      <c r="G1349" s="6" t="s">
        <v>29</v>
      </c>
      <c r="H1349" s="6" t="str">
        <f>IF(G1349="","Unknown",G1349)</f>
        <v>Organic</v>
      </c>
      <c r="I1349" s="6" t="s">
        <v>25</v>
      </c>
      <c r="J1349" s="6">
        <v>1</v>
      </c>
      <c r="K1349" s="6">
        <v>0</v>
      </c>
      <c r="L1349" s="6">
        <v>0</v>
      </c>
      <c r="M1349" s="6">
        <v>0</v>
      </c>
      <c r="N1349" s="6">
        <v>0</v>
      </c>
      <c r="O1349" s="6">
        <v>0</v>
      </c>
      <c r="P1349" s="6">
        <f>IF(O1349&gt;0,1,0)</f>
        <v>0</v>
      </c>
      <c r="Q1349" s="6">
        <v>0</v>
      </c>
      <c r="S1349" s="6">
        <v>73</v>
      </c>
      <c r="T1349" s="6">
        <f>IF(S1349="",MEDIAN($S$2:$S$1409),S1349)</f>
        <v>73</v>
      </c>
    </row>
    <row r="1350" spans="1:20" ht="15" customHeight="1">
      <c r="A1350" s="6" t="s">
        <v>1385</v>
      </c>
      <c r="B1350" s="7">
        <v>45799</v>
      </c>
      <c r="C1350" s="6" t="s">
        <v>727</v>
      </c>
      <c r="D1350" s="6" t="s">
        <v>36</v>
      </c>
      <c r="E1350" s="6" t="s">
        <v>28</v>
      </c>
      <c r="F1350" s="6" t="str">
        <f>IF(E1350="","Unknown",E1350)</f>
        <v>Mobile</v>
      </c>
      <c r="G1350" s="6" t="s">
        <v>29</v>
      </c>
      <c r="H1350" s="6" t="str">
        <f>IF(G1350="","Unknown",G1350)</f>
        <v>Organic</v>
      </c>
      <c r="I1350" s="6" t="s">
        <v>25</v>
      </c>
      <c r="J1350" s="6">
        <v>1</v>
      </c>
      <c r="K1350" s="6">
        <v>1</v>
      </c>
      <c r="L1350" s="6">
        <v>1</v>
      </c>
      <c r="M1350" s="6">
        <v>0</v>
      </c>
      <c r="N1350" s="6">
        <v>0</v>
      </c>
      <c r="O1350" s="6">
        <v>1</v>
      </c>
      <c r="P1350" s="6">
        <f>IF(O1350&gt;0,1,0)</f>
        <v>1</v>
      </c>
      <c r="Q1350" s="6">
        <v>0</v>
      </c>
      <c r="S1350" s="6">
        <v>72.5</v>
      </c>
      <c r="T1350" s="6">
        <f>IF(S1350="",MEDIAN($S$2:$S$1409),S1350)</f>
        <v>72.5</v>
      </c>
    </row>
    <row r="1351" spans="1:20" ht="15" customHeight="1">
      <c r="A1351" s="6" t="s">
        <v>1386</v>
      </c>
      <c r="B1351" s="7">
        <v>45784</v>
      </c>
      <c r="C1351" s="6" t="s">
        <v>727</v>
      </c>
      <c r="D1351" s="6" t="s">
        <v>36</v>
      </c>
      <c r="E1351" s="6" t="s">
        <v>23</v>
      </c>
      <c r="F1351" s="6" t="str">
        <f>IF(E1351="","Unknown",E1351)</f>
        <v>Desktop</v>
      </c>
      <c r="G1351" s="6" t="s">
        <v>33</v>
      </c>
      <c r="H1351" s="6" t="str">
        <f>IF(G1351="","Unknown",G1351)</f>
        <v>Paid Search</v>
      </c>
      <c r="I1351" s="6" t="s">
        <v>30</v>
      </c>
      <c r="J1351" s="6">
        <v>1</v>
      </c>
      <c r="K1351" s="6">
        <v>1</v>
      </c>
      <c r="L1351" s="6">
        <v>1</v>
      </c>
      <c r="M1351" s="6">
        <v>1</v>
      </c>
      <c r="N1351" s="6">
        <v>323.60000000000002</v>
      </c>
      <c r="O1351" s="6">
        <v>0</v>
      </c>
      <c r="P1351" s="6">
        <f>IF(O1351&gt;0,1,0)</f>
        <v>0</v>
      </c>
      <c r="Q1351" s="6">
        <v>0</v>
      </c>
      <c r="R1351" s="6">
        <v>6</v>
      </c>
      <c r="S1351" s="6">
        <v>100</v>
      </c>
      <c r="T1351" s="6">
        <f>IF(S1351="",MEDIAN($S$2:$S$1409),S1351)</f>
        <v>100</v>
      </c>
    </row>
    <row r="1352" spans="1:20" ht="15" customHeight="1">
      <c r="A1352" s="6" t="s">
        <v>1387</v>
      </c>
      <c r="B1352" s="7">
        <v>45696</v>
      </c>
      <c r="C1352" s="6" t="s">
        <v>727</v>
      </c>
      <c r="D1352" s="6" t="s">
        <v>32</v>
      </c>
      <c r="E1352" s="6" t="s">
        <v>28</v>
      </c>
      <c r="F1352" s="6" t="str">
        <f>IF(E1352="","Unknown",E1352)</f>
        <v>Mobile</v>
      </c>
      <c r="G1352" s="6" t="s">
        <v>45</v>
      </c>
      <c r="H1352" s="6" t="str">
        <f>IF(G1352="","Unknown",G1352)</f>
        <v>Social</v>
      </c>
      <c r="I1352" s="6" t="s">
        <v>30</v>
      </c>
      <c r="J1352" s="6">
        <v>0</v>
      </c>
      <c r="K1352" s="6">
        <v>0</v>
      </c>
      <c r="L1352" s="6">
        <v>0</v>
      </c>
      <c r="M1352" s="6">
        <v>0</v>
      </c>
      <c r="N1352" s="6">
        <v>0</v>
      </c>
      <c r="O1352" s="6">
        <v>1</v>
      </c>
      <c r="P1352" s="6">
        <f>IF(O1352&gt;0,1,0)</f>
        <v>1</v>
      </c>
      <c r="Q1352" s="6">
        <v>0</v>
      </c>
      <c r="S1352" s="6">
        <v>90.5</v>
      </c>
      <c r="T1352" s="6">
        <f>IF(S1352="",MEDIAN($S$2:$S$1409),S1352)</f>
        <v>90.5</v>
      </c>
    </row>
    <row r="1353" spans="1:20" ht="15" customHeight="1">
      <c r="A1353" s="6" t="s">
        <v>1388</v>
      </c>
      <c r="B1353" s="7">
        <v>45750</v>
      </c>
      <c r="C1353" s="6" t="s">
        <v>727</v>
      </c>
      <c r="D1353" s="6" t="s">
        <v>22</v>
      </c>
      <c r="E1353" s="6" t="s">
        <v>38</v>
      </c>
      <c r="F1353" s="6" t="str">
        <f>IF(E1353="","Unknown",E1353)</f>
        <v>Tablet</v>
      </c>
      <c r="G1353" s="6" t="s">
        <v>45</v>
      </c>
      <c r="H1353" s="6" t="str">
        <f>IF(G1353="","Unknown",G1353)</f>
        <v>Social</v>
      </c>
      <c r="I1353" s="6" t="s">
        <v>25</v>
      </c>
      <c r="J1353" s="6">
        <v>1</v>
      </c>
      <c r="K1353" s="6">
        <v>0</v>
      </c>
      <c r="L1353" s="6">
        <v>0</v>
      </c>
      <c r="M1353" s="6">
        <v>0</v>
      </c>
      <c r="N1353" s="6">
        <v>0</v>
      </c>
      <c r="O1353" s="6">
        <v>0</v>
      </c>
      <c r="P1353" s="6">
        <f>IF(O1353&gt;0,1,0)</f>
        <v>0</v>
      </c>
      <c r="Q1353" s="6">
        <v>0</v>
      </c>
      <c r="S1353" s="6">
        <v>70.2</v>
      </c>
      <c r="T1353" s="6">
        <f>IF(S1353="",MEDIAN($S$2:$S$1409),S1353)</f>
        <v>70.2</v>
      </c>
    </row>
    <row r="1354" spans="1:20" ht="15" customHeight="1">
      <c r="A1354" s="6" t="s">
        <v>1389</v>
      </c>
      <c r="B1354" s="7">
        <v>45764</v>
      </c>
      <c r="C1354" s="6" t="s">
        <v>727</v>
      </c>
      <c r="D1354" s="6" t="s">
        <v>32</v>
      </c>
      <c r="E1354" s="6" t="s">
        <v>23</v>
      </c>
      <c r="F1354" s="6" t="str">
        <f>IF(E1354="","Unknown",E1354)</f>
        <v>Desktop</v>
      </c>
      <c r="G1354" s="6" t="s">
        <v>33</v>
      </c>
      <c r="H1354" s="6" t="str">
        <f>IF(G1354="","Unknown",G1354)</f>
        <v>Paid Search</v>
      </c>
      <c r="I1354" s="6" t="s">
        <v>30</v>
      </c>
      <c r="J1354" s="6">
        <v>1</v>
      </c>
      <c r="K1354" s="6">
        <v>0</v>
      </c>
      <c r="L1354" s="6">
        <v>0</v>
      </c>
      <c r="M1354" s="6">
        <v>0</v>
      </c>
      <c r="N1354" s="6">
        <v>0</v>
      </c>
      <c r="O1354" s="6">
        <v>1</v>
      </c>
      <c r="P1354" s="6">
        <f>IF(O1354&gt;0,1,0)</f>
        <v>1</v>
      </c>
      <c r="Q1354" s="6">
        <v>0</v>
      </c>
      <c r="S1354" s="6">
        <v>67.099999999999994</v>
      </c>
      <c r="T1354" s="6">
        <f>IF(S1354="",MEDIAN($S$2:$S$1409),S1354)</f>
        <v>67.099999999999994</v>
      </c>
    </row>
    <row r="1355" spans="1:20" ht="15" customHeight="1">
      <c r="A1355" s="6" t="s">
        <v>1390</v>
      </c>
      <c r="B1355" s="7">
        <v>45781</v>
      </c>
      <c r="C1355" s="6" t="s">
        <v>727</v>
      </c>
      <c r="D1355" s="6" t="s">
        <v>32</v>
      </c>
      <c r="E1355" s="6" t="s">
        <v>28</v>
      </c>
      <c r="F1355" s="6" t="str">
        <f>IF(E1355="","Unknown",E1355)</f>
        <v>Mobile</v>
      </c>
      <c r="G1355" s="6" t="s">
        <v>29</v>
      </c>
      <c r="H1355" s="6" t="str">
        <f>IF(G1355="","Unknown",G1355)</f>
        <v>Organic</v>
      </c>
      <c r="I1355" s="6" t="s">
        <v>30</v>
      </c>
      <c r="J1355" s="6">
        <v>0</v>
      </c>
      <c r="K1355" s="6">
        <v>0</v>
      </c>
      <c r="L1355" s="6">
        <v>0</v>
      </c>
      <c r="M1355" s="6">
        <v>0</v>
      </c>
      <c r="N1355" s="6">
        <v>0</v>
      </c>
      <c r="O1355" s="6">
        <v>0</v>
      </c>
      <c r="P1355" s="6">
        <f>IF(O1355&gt;0,1,0)</f>
        <v>0</v>
      </c>
      <c r="Q1355" s="6">
        <v>0</v>
      </c>
      <c r="S1355" s="6">
        <v>54.5</v>
      </c>
      <c r="T1355" s="6">
        <f>IF(S1355="",MEDIAN($S$2:$S$1409),S1355)</f>
        <v>54.5</v>
      </c>
    </row>
    <row r="1356" spans="1:20" ht="15" customHeight="1">
      <c r="A1356" s="6" t="s">
        <v>1391</v>
      </c>
      <c r="B1356" s="7">
        <v>45788</v>
      </c>
      <c r="C1356" s="6" t="s">
        <v>727</v>
      </c>
      <c r="D1356" s="6" t="s">
        <v>27</v>
      </c>
      <c r="E1356" s="6" t="s">
        <v>23</v>
      </c>
      <c r="F1356" s="6" t="str">
        <f>IF(E1356="","Unknown",E1356)</f>
        <v>Desktop</v>
      </c>
      <c r="G1356" s="6" t="s">
        <v>29</v>
      </c>
      <c r="H1356" s="6" t="str">
        <f>IF(G1356="","Unknown",G1356)</f>
        <v>Organic</v>
      </c>
      <c r="I1356" s="6" t="s">
        <v>30</v>
      </c>
      <c r="J1356" s="6">
        <v>1</v>
      </c>
      <c r="K1356" s="6">
        <v>0</v>
      </c>
      <c r="L1356" s="6">
        <v>0</v>
      </c>
      <c r="M1356" s="6">
        <v>0</v>
      </c>
      <c r="N1356" s="6">
        <v>0</v>
      </c>
      <c r="O1356" s="6">
        <v>0</v>
      </c>
      <c r="P1356" s="6">
        <f>IF(O1356&gt;0,1,0)</f>
        <v>0</v>
      </c>
      <c r="Q1356" s="6">
        <v>0</v>
      </c>
      <c r="S1356" s="6">
        <v>63.4</v>
      </c>
      <c r="T1356" s="6">
        <f>IF(S1356="",MEDIAN($S$2:$S$1409),S1356)</f>
        <v>63.4</v>
      </c>
    </row>
    <row r="1357" spans="1:20" ht="15" customHeight="1">
      <c r="A1357" s="6" t="s">
        <v>1392</v>
      </c>
      <c r="B1357" s="7">
        <v>45717</v>
      </c>
      <c r="C1357" s="6" t="s">
        <v>727</v>
      </c>
      <c r="D1357" s="6" t="s">
        <v>22</v>
      </c>
      <c r="E1357" s="6" t="s">
        <v>23</v>
      </c>
      <c r="F1357" s="6" t="str">
        <f>IF(E1357="","Unknown",E1357)</f>
        <v>Desktop</v>
      </c>
      <c r="G1357" s="6"/>
      <c r="H1357" s="6" t="str">
        <f>IF(G1357="","Unknown",G1357)</f>
        <v>Unknown</v>
      </c>
      <c r="I1357" s="6" t="s">
        <v>30</v>
      </c>
      <c r="J1357" s="6">
        <v>1</v>
      </c>
      <c r="K1357" s="6">
        <v>1</v>
      </c>
      <c r="L1357" s="6">
        <v>1</v>
      </c>
      <c r="M1357" s="6">
        <v>0</v>
      </c>
      <c r="N1357" s="6">
        <v>0</v>
      </c>
      <c r="O1357" s="6">
        <v>0</v>
      </c>
      <c r="P1357" s="6">
        <f>IF(O1357&gt;0,1,0)</f>
        <v>0</v>
      </c>
      <c r="Q1357" s="6">
        <v>0</v>
      </c>
      <c r="S1357" s="6">
        <v>84.3</v>
      </c>
      <c r="T1357" s="6">
        <f>IF(S1357="",MEDIAN($S$2:$S$1409),S1357)</f>
        <v>84.3</v>
      </c>
    </row>
    <row r="1358" spans="1:20" ht="15" customHeight="1">
      <c r="A1358" s="6" t="s">
        <v>1393</v>
      </c>
      <c r="B1358" s="7">
        <v>45708</v>
      </c>
      <c r="C1358" s="6" t="s">
        <v>727</v>
      </c>
      <c r="D1358" s="6" t="s">
        <v>27</v>
      </c>
      <c r="E1358" s="6" t="s">
        <v>23</v>
      </c>
      <c r="F1358" s="6" t="str">
        <f>IF(E1358="","Unknown",E1358)</f>
        <v>Desktop</v>
      </c>
      <c r="G1358" s="6" t="s">
        <v>29</v>
      </c>
      <c r="H1358" s="6" t="str">
        <f>IF(G1358="","Unknown",G1358)</f>
        <v>Organic</v>
      </c>
      <c r="I1358" s="6" t="s">
        <v>30</v>
      </c>
      <c r="J1358" s="6">
        <v>1</v>
      </c>
      <c r="K1358" s="6">
        <v>0</v>
      </c>
      <c r="L1358" s="6">
        <v>0</v>
      </c>
      <c r="M1358" s="6">
        <v>0</v>
      </c>
      <c r="N1358" s="6">
        <v>0</v>
      </c>
      <c r="O1358" s="6">
        <v>1</v>
      </c>
      <c r="P1358" s="6">
        <f>IF(O1358&gt;0,1,0)</f>
        <v>1</v>
      </c>
      <c r="Q1358" s="6">
        <v>0</v>
      </c>
      <c r="S1358" s="6">
        <v>55</v>
      </c>
      <c r="T1358" s="6">
        <f>IF(S1358="",MEDIAN($S$2:$S$1409),S1358)</f>
        <v>55</v>
      </c>
    </row>
    <row r="1359" spans="1:20" ht="15" customHeight="1">
      <c r="A1359" s="6" t="s">
        <v>1394</v>
      </c>
      <c r="B1359" s="7">
        <v>45786</v>
      </c>
      <c r="C1359" s="6" t="s">
        <v>727</v>
      </c>
      <c r="D1359" s="6" t="s">
        <v>27</v>
      </c>
      <c r="E1359" s="6" t="s">
        <v>28</v>
      </c>
      <c r="F1359" s="6" t="str">
        <f>IF(E1359="","Unknown",E1359)</f>
        <v>Mobile</v>
      </c>
      <c r="G1359" s="6" t="s">
        <v>45</v>
      </c>
      <c r="H1359" s="6" t="str">
        <f>IF(G1359="","Unknown",G1359)</f>
        <v>Social</v>
      </c>
      <c r="I1359" s="6" t="s">
        <v>30</v>
      </c>
      <c r="J1359" s="6">
        <v>1</v>
      </c>
      <c r="K1359" s="6">
        <v>0</v>
      </c>
      <c r="L1359" s="6">
        <v>0</v>
      </c>
      <c r="M1359" s="6">
        <v>0</v>
      </c>
      <c r="N1359" s="6">
        <v>0</v>
      </c>
      <c r="O1359" s="6">
        <v>0</v>
      </c>
      <c r="P1359" s="6">
        <f>IF(O1359&gt;0,1,0)</f>
        <v>0</v>
      </c>
      <c r="Q1359" s="6">
        <v>0</v>
      </c>
      <c r="S1359" s="6">
        <v>63.6</v>
      </c>
      <c r="T1359" s="6">
        <f>IF(S1359="",MEDIAN($S$2:$S$1409),S1359)</f>
        <v>63.6</v>
      </c>
    </row>
    <row r="1360" spans="1:20" ht="15" customHeight="1">
      <c r="A1360" s="6" t="s">
        <v>1395</v>
      </c>
      <c r="B1360" s="7">
        <v>45777</v>
      </c>
      <c r="C1360" s="6" t="s">
        <v>727</v>
      </c>
      <c r="D1360" s="6" t="s">
        <v>27</v>
      </c>
      <c r="E1360" s="6" t="s">
        <v>28</v>
      </c>
      <c r="F1360" s="6" t="str">
        <f>IF(E1360="","Unknown",E1360)</f>
        <v>Mobile</v>
      </c>
      <c r="G1360" s="6" t="s">
        <v>29</v>
      </c>
      <c r="H1360" s="6" t="str">
        <f>IF(G1360="","Unknown",G1360)</f>
        <v>Organic</v>
      </c>
      <c r="I1360" s="6" t="s">
        <v>30</v>
      </c>
      <c r="J1360" s="6">
        <v>1</v>
      </c>
      <c r="K1360" s="6"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f>IF(O1360&gt;0,1,0)</f>
        <v>0</v>
      </c>
      <c r="Q1360" s="6">
        <v>0</v>
      </c>
      <c r="S1360" s="6">
        <v>55.5</v>
      </c>
      <c r="T1360" s="6">
        <f>IF(S1360="",MEDIAN($S$2:$S$1409),S1360)</f>
        <v>55.5</v>
      </c>
    </row>
    <row r="1361" spans="1:20" ht="15" customHeight="1">
      <c r="A1361" s="6" t="s">
        <v>1396</v>
      </c>
      <c r="B1361" s="7">
        <v>45664</v>
      </c>
      <c r="C1361" s="6" t="s">
        <v>727</v>
      </c>
      <c r="D1361" s="6" t="s">
        <v>36</v>
      </c>
      <c r="E1361" s="6" t="s">
        <v>28</v>
      </c>
      <c r="F1361" s="6" t="str">
        <f>IF(E1361="","Unknown",E1361)</f>
        <v>Mobile</v>
      </c>
      <c r="G1361" s="6" t="s">
        <v>45</v>
      </c>
      <c r="H1361" s="6" t="str">
        <f>IF(G1361="","Unknown",G1361)</f>
        <v>Social</v>
      </c>
      <c r="I1361" s="6" t="s">
        <v>25</v>
      </c>
      <c r="J1361" s="6">
        <v>0</v>
      </c>
      <c r="K1361" s="6">
        <v>0</v>
      </c>
      <c r="L1361" s="6">
        <v>0</v>
      </c>
      <c r="M1361" s="6">
        <v>0</v>
      </c>
      <c r="N1361" s="6">
        <v>0</v>
      </c>
      <c r="O1361" s="6">
        <v>0</v>
      </c>
      <c r="P1361" s="6">
        <f>IF(O1361&gt;0,1,0)</f>
        <v>0</v>
      </c>
      <c r="Q1361" s="6">
        <v>0</v>
      </c>
      <c r="S1361" s="6">
        <v>50.5</v>
      </c>
      <c r="T1361" s="6">
        <f>IF(S1361="",MEDIAN($S$2:$S$1409),S1361)</f>
        <v>50.5</v>
      </c>
    </row>
    <row r="1362" spans="1:20" ht="15" customHeight="1">
      <c r="A1362" s="6" t="s">
        <v>1397</v>
      </c>
      <c r="B1362" s="7">
        <v>45777</v>
      </c>
      <c r="C1362" s="6" t="s">
        <v>727</v>
      </c>
      <c r="D1362" s="6" t="s">
        <v>22</v>
      </c>
      <c r="E1362" s="6" t="s">
        <v>28</v>
      </c>
      <c r="F1362" s="6" t="str">
        <f>IF(E1362="","Unknown",E1362)</f>
        <v>Mobile</v>
      </c>
      <c r="G1362" s="6" t="s">
        <v>45</v>
      </c>
      <c r="H1362" s="6" t="str">
        <f>IF(G1362="","Unknown",G1362)</f>
        <v>Social</v>
      </c>
      <c r="I1362" s="6" t="s">
        <v>25</v>
      </c>
      <c r="J1362" s="6">
        <v>1</v>
      </c>
      <c r="K1362" s="6">
        <v>0</v>
      </c>
      <c r="L1362" s="6">
        <v>0</v>
      </c>
      <c r="M1362" s="6">
        <v>0</v>
      </c>
      <c r="N1362" s="6">
        <v>0</v>
      </c>
      <c r="O1362" s="6">
        <v>0</v>
      </c>
      <c r="P1362" s="6">
        <f>IF(O1362&gt;0,1,0)</f>
        <v>0</v>
      </c>
      <c r="Q1362" s="6">
        <v>0</v>
      </c>
      <c r="S1362" s="6">
        <v>45.3</v>
      </c>
      <c r="T1362" s="6">
        <f>IF(S1362="",MEDIAN($S$2:$S$1409),S1362)</f>
        <v>45.3</v>
      </c>
    </row>
    <row r="1363" spans="1:20" ht="15" customHeight="1">
      <c r="A1363" s="6" t="s">
        <v>1398</v>
      </c>
      <c r="B1363" s="7">
        <v>45800</v>
      </c>
      <c r="C1363" s="6" t="s">
        <v>727</v>
      </c>
      <c r="D1363" s="6" t="s">
        <v>32</v>
      </c>
      <c r="E1363" s="6" t="s">
        <v>28</v>
      </c>
      <c r="F1363" s="6" t="str">
        <f>IF(E1363="","Unknown",E1363)</f>
        <v>Mobile</v>
      </c>
      <c r="G1363" s="6" t="s">
        <v>29</v>
      </c>
      <c r="H1363" s="6" t="str">
        <f>IF(G1363="","Unknown",G1363)</f>
        <v>Organic</v>
      </c>
      <c r="I1363" s="6" t="s">
        <v>25</v>
      </c>
      <c r="J1363" s="6">
        <v>1</v>
      </c>
      <c r="K1363" s="6">
        <v>0</v>
      </c>
      <c r="L1363" s="6">
        <v>0</v>
      </c>
      <c r="M1363" s="6">
        <v>0</v>
      </c>
      <c r="N1363" s="6">
        <v>0</v>
      </c>
      <c r="O1363" s="6">
        <v>0</v>
      </c>
      <c r="P1363" s="6">
        <f>IF(O1363&gt;0,1,0)</f>
        <v>0</v>
      </c>
      <c r="Q1363" s="6">
        <v>0</v>
      </c>
      <c r="S1363" s="6">
        <v>33.6</v>
      </c>
      <c r="T1363" s="6">
        <f>IF(S1363="",MEDIAN($S$2:$S$1409),S1363)</f>
        <v>33.6</v>
      </c>
    </row>
    <row r="1364" spans="1:20" ht="15" customHeight="1">
      <c r="A1364" s="6" t="s">
        <v>1399</v>
      </c>
      <c r="B1364" s="7">
        <v>45728</v>
      </c>
      <c r="C1364" s="6" t="s">
        <v>727</v>
      </c>
      <c r="D1364" s="6" t="s">
        <v>36</v>
      </c>
      <c r="E1364" s="6" t="s">
        <v>28</v>
      </c>
      <c r="F1364" s="6" t="str">
        <f>IF(E1364="","Unknown",E1364)</f>
        <v>Mobile</v>
      </c>
      <c r="G1364" s="6" t="s">
        <v>33</v>
      </c>
      <c r="H1364" s="6" t="str">
        <f>IF(G1364="","Unknown",G1364)</f>
        <v>Paid Search</v>
      </c>
      <c r="I1364" s="6" t="s">
        <v>34</v>
      </c>
      <c r="J1364" s="6">
        <v>1</v>
      </c>
      <c r="K1364" s="6">
        <v>1</v>
      </c>
      <c r="L1364" s="6">
        <v>1</v>
      </c>
      <c r="M1364" s="6">
        <v>0</v>
      </c>
      <c r="N1364" s="6">
        <v>0</v>
      </c>
      <c r="O1364" s="6">
        <v>0</v>
      </c>
      <c r="P1364" s="6">
        <f>IF(O1364&gt;0,1,0)</f>
        <v>0</v>
      </c>
      <c r="Q1364" s="6">
        <v>0</v>
      </c>
      <c r="S1364" s="6">
        <v>88.2</v>
      </c>
      <c r="T1364" s="6">
        <f>IF(S1364="",MEDIAN($S$2:$S$1409),S1364)</f>
        <v>88.2</v>
      </c>
    </row>
    <row r="1365" spans="1:20" ht="15" customHeight="1">
      <c r="A1365" s="6" t="s">
        <v>1400</v>
      </c>
      <c r="B1365" s="7">
        <v>45705</v>
      </c>
      <c r="C1365" s="6" t="s">
        <v>727</v>
      </c>
      <c r="D1365" s="6" t="s">
        <v>22</v>
      </c>
      <c r="E1365" s="6" t="s">
        <v>28</v>
      </c>
      <c r="F1365" s="6" t="str">
        <f>IF(E1365="","Unknown",E1365)</f>
        <v>Mobile</v>
      </c>
      <c r="G1365" s="6" t="s">
        <v>29</v>
      </c>
      <c r="H1365" s="6" t="str">
        <f>IF(G1365="","Unknown",G1365)</f>
        <v>Organic</v>
      </c>
      <c r="I1365" s="6" t="s">
        <v>34</v>
      </c>
      <c r="J1365" s="6">
        <v>1</v>
      </c>
      <c r="K1365" s="6">
        <v>0</v>
      </c>
      <c r="L1365" s="6">
        <v>0</v>
      </c>
      <c r="M1365" s="6">
        <v>0</v>
      </c>
      <c r="N1365" s="6">
        <v>0</v>
      </c>
      <c r="O1365" s="6">
        <v>0</v>
      </c>
      <c r="P1365" s="6">
        <f>IF(O1365&gt;0,1,0)</f>
        <v>0</v>
      </c>
      <c r="Q1365" s="6">
        <v>0</v>
      </c>
      <c r="S1365" s="6">
        <v>51.8</v>
      </c>
      <c r="T1365" s="6">
        <f>IF(S1365="",MEDIAN($S$2:$S$1409),S1365)</f>
        <v>51.8</v>
      </c>
    </row>
    <row r="1366" spans="1:20" ht="15" customHeight="1">
      <c r="A1366" s="6" t="s">
        <v>1401</v>
      </c>
      <c r="B1366" s="7">
        <v>45804</v>
      </c>
      <c r="C1366" s="6" t="s">
        <v>727</v>
      </c>
      <c r="D1366" s="6" t="s">
        <v>22</v>
      </c>
      <c r="E1366" s="6" t="s">
        <v>23</v>
      </c>
      <c r="F1366" s="6" t="str">
        <f>IF(E1366="","Unknown",E1366)</f>
        <v>Desktop</v>
      </c>
      <c r="G1366" s="6" t="s">
        <v>29</v>
      </c>
      <c r="H1366" s="6" t="str">
        <f>IF(G1366="","Unknown",G1366)</f>
        <v>Organic</v>
      </c>
      <c r="I1366" s="6" t="s">
        <v>25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f>IF(O1366&gt;0,1,0)</f>
        <v>0</v>
      </c>
      <c r="Q1366" s="6">
        <v>0</v>
      </c>
      <c r="S1366" s="6">
        <v>87.9</v>
      </c>
      <c r="T1366" s="6">
        <f>IF(S1366="",MEDIAN($S$2:$S$1409),S1366)</f>
        <v>87.9</v>
      </c>
    </row>
    <row r="1367" spans="1:20" ht="15" customHeight="1">
      <c r="A1367" s="6" t="s">
        <v>1402</v>
      </c>
      <c r="B1367" s="7">
        <v>45787</v>
      </c>
      <c r="C1367" s="6" t="s">
        <v>727</v>
      </c>
      <c r="D1367" s="6" t="s">
        <v>36</v>
      </c>
      <c r="E1367" s="6" t="s">
        <v>28</v>
      </c>
      <c r="F1367" s="6" t="str">
        <f>IF(E1367="","Unknown",E1367)</f>
        <v>Mobile</v>
      </c>
      <c r="G1367" s="6" t="s">
        <v>45</v>
      </c>
      <c r="H1367" s="6" t="str">
        <f>IF(G1367="","Unknown",G1367)</f>
        <v>Social</v>
      </c>
      <c r="I1367" s="6" t="s">
        <v>34</v>
      </c>
      <c r="J1367" s="6">
        <v>1</v>
      </c>
      <c r="K1367" s="6">
        <v>0</v>
      </c>
      <c r="L1367" s="6">
        <v>0</v>
      </c>
      <c r="M1367" s="6">
        <v>0</v>
      </c>
      <c r="N1367" s="6">
        <v>0</v>
      </c>
      <c r="O1367" s="6">
        <v>2</v>
      </c>
      <c r="P1367" s="6">
        <f>IF(O1367&gt;0,1,0)</f>
        <v>1</v>
      </c>
      <c r="Q1367" s="6">
        <v>0</v>
      </c>
      <c r="S1367" s="6">
        <v>70.5</v>
      </c>
      <c r="T1367" s="6">
        <f>IF(S1367="",MEDIAN($S$2:$S$1409),S1367)</f>
        <v>70.5</v>
      </c>
    </row>
    <row r="1368" spans="1:20" ht="15" customHeight="1">
      <c r="A1368" s="6" t="s">
        <v>1403</v>
      </c>
      <c r="B1368" s="7">
        <v>45677</v>
      </c>
      <c r="C1368" s="6" t="s">
        <v>727</v>
      </c>
      <c r="D1368" s="6" t="s">
        <v>22</v>
      </c>
      <c r="E1368" s="6" t="s">
        <v>28</v>
      </c>
      <c r="F1368" s="6" t="str">
        <f>IF(E1368="","Unknown",E1368)</f>
        <v>Mobile</v>
      </c>
      <c r="G1368" s="6" t="s">
        <v>29</v>
      </c>
      <c r="H1368" s="6" t="str">
        <f>IF(G1368="","Unknown",G1368)</f>
        <v>Organic</v>
      </c>
      <c r="I1368" s="6" t="s">
        <v>25</v>
      </c>
      <c r="J1368" s="6">
        <v>1</v>
      </c>
      <c r="K1368" s="6">
        <v>1</v>
      </c>
      <c r="L1368" s="6">
        <v>0</v>
      </c>
      <c r="M1368" s="6">
        <v>0</v>
      </c>
      <c r="N1368" s="6">
        <v>0</v>
      </c>
      <c r="O1368" s="6">
        <v>2</v>
      </c>
      <c r="P1368" s="6">
        <f>IF(O1368&gt;0,1,0)</f>
        <v>1</v>
      </c>
      <c r="Q1368" s="6">
        <v>0</v>
      </c>
      <c r="S1368" s="6">
        <v>58.5</v>
      </c>
      <c r="T1368" s="6">
        <f>IF(S1368="",MEDIAN($S$2:$S$1409),S1368)</f>
        <v>58.5</v>
      </c>
    </row>
    <row r="1369" spans="1:20" ht="15" customHeight="1">
      <c r="A1369" s="6" t="s">
        <v>1404</v>
      </c>
      <c r="B1369" s="7">
        <v>45676</v>
      </c>
      <c r="C1369" s="6" t="s">
        <v>727</v>
      </c>
      <c r="D1369" s="6" t="s">
        <v>32</v>
      </c>
      <c r="E1369" s="6" t="s">
        <v>28</v>
      </c>
      <c r="F1369" s="6" t="str">
        <f>IF(E1369="","Unknown",E1369)</f>
        <v>Mobile</v>
      </c>
      <c r="G1369" s="6" t="s">
        <v>43</v>
      </c>
      <c r="H1369" s="6" t="str">
        <f>IF(G1369="","Unknown",G1369)</f>
        <v>Referral</v>
      </c>
      <c r="I1369" s="6" t="s">
        <v>30</v>
      </c>
      <c r="J1369" s="6">
        <v>1</v>
      </c>
      <c r="K1369" s="6">
        <v>0</v>
      </c>
      <c r="L1369" s="6">
        <v>0</v>
      </c>
      <c r="M1369" s="6">
        <v>0</v>
      </c>
      <c r="N1369" s="6">
        <v>0</v>
      </c>
      <c r="O1369" s="6">
        <v>0</v>
      </c>
      <c r="P1369" s="6">
        <f>IF(O1369&gt;0,1,0)</f>
        <v>0</v>
      </c>
      <c r="Q1369" s="6">
        <v>0</v>
      </c>
      <c r="S1369" s="6">
        <v>65.599999999999994</v>
      </c>
      <c r="T1369" s="6">
        <f>IF(S1369="",MEDIAN($S$2:$S$1409),S1369)</f>
        <v>65.599999999999994</v>
      </c>
    </row>
    <row r="1370" spans="1:20" ht="15" customHeight="1">
      <c r="A1370" s="6" t="s">
        <v>1405</v>
      </c>
      <c r="B1370" s="7">
        <v>45723</v>
      </c>
      <c r="C1370" s="6" t="s">
        <v>727</v>
      </c>
      <c r="D1370" s="6" t="s">
        <v>27</v>
      </c>
      <c r="E1370" s="6" t="s">
        <v>23</v>
      </c>
      <c r="F1370" s="6" t="str">
        <f>IF(E1370="","Unknown",E1370)</f>
        <v>Desktop</v>
      </c>
      <c r="G1370" s="6" t="s">
        <v>33</v>
      </c>
      <c r="H1370" s="6" t="str">
        <f>IF(G1370="","Unknown",G1370)</f>
        <v>Paid Search</v>
      </c>
      <c r="I1370" s="6" t="s">
        <v>25</v>
      </c>
      <c r="J1370" s="6">
        <v>1</v>
      </c>
      <c r="K1370" s="6">
        <v>1</v>
      </c>
      <c r="L1370" s="6">
        <v>0</v>
      </c>
      <c r="M1370" s="6">
        <v>0</v>
      </c>
      <c r="N1370" s="6">
        <v>0</v>
      </c>
      <c r="O1370" s="6">
        <v>0</v>
      </c>
      <c r="P1370" s="6">
        <f>IF(O1370&gt;0,1,0)</f>
        <v>0</v>
      </c>
      <c r="Q1370" s="6">
        <v>0</v>
      </c>
      <c r="S1370" s="6">
        <v>62.7</v>
      </c>
      <c r="T1370" s="6">
        <f>IF(S1370="",MEDIAN($S$2:$S$1409),S1370)</f>
        <v>62.7</v>
      </c>
    </row>
    <row r="1371" spans="1:20" ht="15" customHeight="1">
      <c r="A1371" s="6" t="s">
        <v>1406</v>
      </c>
      <c r="B1371" s="7">
        <v>45690</v>
      </c>
      <c r="C1371" s="6" t="s">
        <v>727</v>
      </c>
      <c r="D1371" s="6" t="s">
        <v>32</v>
      </c>
      <c r="E1371" s="6" t="s">
        <v>28</v>
      </c>
      <c r="F1371" s="6" t="str">
        <f>IF(E1371="","Unknown",E1371)</f>
        <v>Mobile</v>
      </c>
      <c r="G1371" s="6" t="s">
        <v>29</v>
      </c>
      <c r="H1371" s="6" t="str">
        <f>IF(G1371="","Unknown",G1371)</f>
        <v>Organic</v>
      </c>
      <c r="I1371" s="6" t="s">
        <v>30</v>
      </c>
      <c r="J1371" s="6">
        <v>0</v>
      </c>
      <c r="K1371" s="6">
        <v>0</v>
      </c>
      <c r="L1371" s="6">
        <v>0</v>
      </c>
      <c r="M1371" s="6">
        <v>0</v>
      </c>
      <c r="N1371" s="6">
        <v>0</v>
      </c>
      <c r="O1371" s="6">
        <v>1</v>
      </c>
      <c r="P1371" s="6">
        <f>IF(O1371&gt;0,1,0)</f>
        <v>1</v>
      </c>
      <c r="Q1371" s="6">
        <v>0</v>
      </c>
      <c r="S1371" s="6">
        <v>50.9</v>
      </c>
      <c r="T1371" s="6">
        <f>IF(S1371="",MEDIAN($S$2:$S$1409),S1371)</f>
        <v>50.9</v>
      </c>
    </row>
    <row r="1372" spans="1:20" ht="15" customHeight="1">
      <c r="A1372" s="6" t="s">
        <v>1407</v>
      </c>
      <c r="B1372" s="7">
        <v>45723</v>
      </c>
      <c r="C1372" s="6" t="s">
        <v>727</v>
      </c>
      <c r="D1372" s="6" t="s">
        <v>22</v>
      </c>
      <c r="E1372" s="6" t="s">
        <v>28</v>
      </c>
      <c r="F1372" s="6" t="str">
        <f>IF(E1372="","Unknown",E1372)</f>
        <v>Mobile</v>
      </c>
      <c r="G1372" s="6" t="s">
        <v>29</v>
      </c>
      <c r="H1372" s="6" t="str">
        <f>IF(G1372="","Unknown",G1372)</f>
        <v>Organic</v>
      </c>
      <c r="I1372" s="6" t="s">
        <v>30</v>
      </c>
      <c r="J1372" s="6">
        <v>0</v>
      </c>
      <c r="K1372" s="6">
        <v>0</v>
      </c>
      <c r="L1372" s="6">
        <v>0</v>
      </c>
      <c r="M1372" s="6">
        <v>0</v>
      </c>
      <c r="N1372" s="6">
        <v>0</v>
      </c>
      <c r="O1372" s="6">
        <v>1</v>
      </c>
      <c r="P1372" s="6">
        <f>IF(O1372&gt;0,1,0)</f>
        <v>1</v>
      </c>
      <c r="Q1372" s="6">
        <v>0</v>
      </c>
      <c r="S1372" s="6">
        <v>60.6</v>
      </c>
      <c r="T1372" s="6">
        <f>IF(S1372="",MEDIAN($S$2:$S$1409),S1372)</f>
        <v>60.6</v>
      </c>
    </row>
    <row r="1373" spans="1:20" ht="15" customHeight="1">
      <c r="A1373" s="6" t="s">
        <v>1408</v>
      </c>
      <c r="B1373" s="7">
        <v>45746</v>
      </c>
      <c r="C1373" s="6" t="s">
        <v>727</v>
      </c>
      <c r="D1373" s="6" t="s">
        <v>32</v>
      </c>
      <c r="E1373" s="6" t="s">
        <v>23</v>
      </c>
      <c r="F1373" s="6" t="str">
        <f>IF(E1373="","Unknown",E1373)</f>
        <v>Desktop</v>
      </c>
      <c r="G1373" s="6" t="s">
        <v>29</v>
      </c>
      <c r="H1373" s="6" t="str">
        <f>IF(G1373="","Unknown",G1373)</f>
        <v>Organic</v>
      </c>
      <c r="I1373" s="6" t="s">
        <v>30</v>
      </c>
      <c r="J1373" s="6">
        <v>1</v>
      </c>
      <c r="K1373" s="6">
        <v>1</v>
      </c>
      <c r="L1373" s="6">
        <v>1</v>
      </c>
      <c r="M1373" s="6">
        <v>0</v>
      </c>
      <c r="N1373" s="6">
        <v>0</v>
      </c>
      <c r="O1373" s="6">
        <v>0</v>
      </c>
      <c r="P1373" s="6">
        <f>IF(O1373&gt;0,1,0)</f>
        <v>0</v>
      </c>
      <c r="Q1373" s="6">
        <v>0</v>
      </c>
      <c r="S1373" s="6">
        <v>76.599999999999994</v>
      </c>
      <c r="T1373" s="6">
        <f>IF(S1373="",MEDIAN($S$2:$S$1409),S1373)</f>
        <v>76.599999999999994</v>
      </c>
    </row>
    <row r="1374" spans="1:20" ht="15" customHeight="1">
      <c r="A1374" s="6" t="s">
        <v>1409</v>
      </c>
      <c r="B1374" s="7">
        <v>45782</v>
      </c>
      <c r="C1374" s="6" t="s">
        <v>727</v>
      </c>
      <c r="D1374" s="6" t="s">
        <v>32</v>
      </c>
      <c r="E1374" s="6" t="s">
        <v>23</v>
      </c>
      <c r="F1374" s="6" t="str">
        <f>IF(E1374="","Unknown",E1374)</f>
        <v>Desktop</v>
      </c>
      <c r="G1374" s="6" t="s">
        <v>33</v>
      </c>
      <c r="H1374" s="6" t="str">
        <f>IF(G1374="","Unknown",G1374)</f>
        <v>Paid Search</v>
      </c>
      <c r="I1374" s="6" t="s">
        <v>30</v>
      </c>
      <c r="J1374" s="6">
        <v>1</v>
      </c>
      <c r="K1374" s="6">
        <v>1</v>
      </c>
      <c r="L1374" s="6">
        <v>1</v>
      </c>
      <c r="M1374" s="6">
        <v>0</v>
      </c>
      <c r="N1374" s="6">
        <v>0</v>
      </c>
      <c r="O1374" s="6">
        <v>0</v>
      </c>
      <c r="P1374" s="6">
        <f>IF(O1374&gt;0,1,0)</f>
        <v>0</v>
      </c>
      <c r="Q1374" s="6">
        <v>0</v>
      </c>
      <c r="S1374" s="6">
        <v>54.4</v>
      </c>
      <c r="T1374" s="6">
        <f>IF(S1374="",MEDIAN($S$2:$S$1409),S1374)</f>
        <v>54.4</v>
      </c>
    </row>
    <row r="1375" spans="1:20" ht="15" customHeight="1">
      <c r="A1375" s="6" t="s">
        <v>1410</v>
      </c>
      <c r="B1375" s="7">
        <v>45758</v>
      </c>
      <c r="C1375" s="6" t="s">
        <v>727</v>
      </c>
      <c r="D1375" s="6" t="s">
        <v>36</v>
      </c>
      <c r="E1375" s="6" t="s">
        <v>28</v>
      </c>
      <c r="F1375" s="6" t="str">
        <f>IF(E1375="","Unknown",E1375)</f>
        <v>Mobile</v>
      </c>
      <c r="G1375" s="6" t="s">
        <v>45</v>
      </c>
      <c r="H1375" s="6" t="str">
        <f>IF(G1375="","Unknown",G1375)</f>
        <v>Social</v>
      </c>
      <c r="I1375" s="6" t="s">
        <v>30</v>
      </c>
      <c r="J1375" s="6">
        <v>1</v>
      </c>
      <c r="K1375" s="6">
        <v>0</v>
      </c>
      <c r="L1375" s="6">
        <v>0</v>
      </c>
      <c r="M1375" s="6">
        <v>0</v>
      </c>
      <c r="N1375" s="6">
        <v>0</v>
      </c>
      <c r="O1375" s="6">
        <v>0</v>
      </c>
      <c r="P1375" s="6">
        <f>IF(O1375&gt;0,1,0)</f>
        <v>0</v>
      </c>
      <c r="Q1375" s="6">
        <v>0</v>
      </c>
      <c r="S1375" s="6">
        <v>31.2</v>
      </c>
      <c r="T1375" s="6">
        <f>IF(S1375="",MEDIAN($S$2:$S$1409),S1375)</f>
        <v>31.2</v>
      </c>
    </row>
    <row r="1376" spans="1:20" ht="15" customHeight="1">
      <c r="A1376" s="6" t="s">
        <v>1411</v>
      </c>
      <c r="B1376" s="7">
        <v>45741</v>
      </c>
      <c r="C1376" s="6" t="s">
        <v>727</v>
      </c>
      <c r="D1376" s="6" t="s">
        <v>27</v>
      </c>
      <c r="E1376" s="6" t="s">
        <v>23</v>
      </c>
      <c r="F1376" s="6" t="str">
        <f>IF(E1376="","Unknown",E1376)</f>
        <v>Desktop</v>
      </c>
      <c r="G1376" s="6" t="s">
        <v>24</v>
      </c>
      <c r="H1376" s="6" t="str">
        <f>IF(G1376="","Unknown",G1376)</f>
        <v>Email</v>
      </c>
      <c r="I1376" s="6" t="s">
        <v>34</v>
      </c>
      <c r="J1376" s="6">
        <v>1</v>
      </c>
      <c r="K1376" s="6">
        <v>0</v>
      </c>
      <c r="L1376" s="6">
        <v>0</v>
      </c>
      <c r="M1376" s="6">
        <v>0</v>
      </c>
      <c r="N1376" s="6">
        <v>0</v>
      </c>
      <c r="O1376" s="6">
        <v>0</v>
      </c>
      <c r="P1376" s="6">
        <f>IF(O1376&gt;0,1,0)</f>
        <v>0</v>
      </c>
      <c r="Q1376" s="6">
        <v>0</v>
      </c>
      <c r="S1376" s="6">
        <v>72.400000000000006</v>
      </c>
      <c r="T1376" s="6">
        <f>IF(S1376="",MEDIAN($S$2:$S$1409),S1376)</f>
        <v>72.400000000000006</v>
      </c>
    </row>
    <row r="1377" spans="1:20" ht="15" customHeight="1">
      <c r="A1377" s="6" t="s">
        <v>1412</v>
      </c>
      <c r="B1377" s="7">
        <v>45740</v>
      </c>
      <c r="C1377" s="6" t="s">
        <v>727</v>
      </c>
      <c r="D1377" s="6" t="s">
        <v>22</v>
      </c>
      <c r="E1377" s="6" t="s">
        <v>28</v>
      </c>
      <c r="F1377" s="6" t="str">
        <f>IF(E1377="","Unknown",E1377)</f>
        <v>Mobile</v>
      </c>
      <c r="G1377" s="6" t="s">
        <v>29</v>
      </c>
      <c r="H1377" s="6" t="str">
        <f>IF(G1377="","Unknown",G1377)</f>
        <v>Organic</v>
      </c>
      <c r="I1377" s="6" t="s">
        <v>34</v>
      </c>
      <c r="J1377" s="6">
        <v>1</v>
      </c>
      <c r="K1377" s="6">
        <v>0</v>
      </c>
      <c r="L1377" s="6">
        <v>0</v>
      </c>
      <c r="M1377" s="6">
        <v>0</v>
      </c>
      <c r="N1377" s="6">
        <v>0</v>
      </c>
      <c r="O1377" s="6">
        <v>0</v>
      </c>
      <c r="P1377" s="6">
        <f>IF(O1377&gt;0,1,0)</f>
        <v>0</v>
      </c>
      <c r="Q1377" s="6">
        <v>0</v>
      </c>
      <c r="S1377" s="6">
        <v>74.5</v>
      </c>
      <c r="T1377" s="6">
        <f>IF(S1377="",MEDIAN($S$2:$S$1409),S1377)</f>
        <v>74.5</v>
      </c>
    </row>
    <row r="1378" spans="1:20" ht="15" customHeight="1">
      <c r="A1378" s="6" t="s">
        <v>1413</v>
      </c>
      <c r="B1378" s="7">
        <v>45774</v>
      </c>
      <c r="C1378" s="6" t="s">
        <v>727</v>
      </c>
      <c r="D1378" s="6" t="s">
        <v>32</v>
      </c>
      <c r="E1378" s="6" t="s">
        <v>28</v>
      </c>
      <c r="F1378" s="6" t="str">
        <f>IF(E1378="","Unknown",E1378)</f>
        <v>Mobile</v>
      </c>
      <c r="G1378" s="6" t="s">
        <v>29</v>
      </c>
      <c r="H1378" s="6" t="str">
        <f>IF(G1378="","Unknown",G1378)</f>
        <v>Organic</v>
      </c>
      <c r="I1378" s="6" t="s">
        <v>25</v>
      </c>
      <c r="J1378" s="6">
        <v>0</v>
      </c>
      <c r="K1378" s="6"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f>IF(O1378&gt;0,1,0)</f>
        <v>0</v>
      </c>
      <c r="Q1378" s="6">
        <v>0</v>
      </c>
      <c r="S1378" s="6">
        <v>52.6</v>
      </c>
      <c r="T1378" s="6">
        <f>IF(S1378="",MEDIAN($S$2:$S$1409),S1378)</f>
        <v>52.6</v>
      </c>
    </row>
    <row r="1379" spans="1:20" ht="15" customHeight="1">
      <c r="A1379" s="6" t="s">
        <v>1414</v>
      </c>
      <c r="B1379" s="7">
        <v>45682</v>
      </c>
      <c r="C1379" s="6" t="s">
        <v>727</v>
      </c>
      <c r="D1379" s="6" t="s">
        <v>22</v>
      </c>
      <c r="E1379" s="6" t="s">
        <v>23</v>
      </c>
      <c r="F1379" s="6" t="str">
        <f>IF(E1379="","Unknown",E1379)</f>
        <v>Desktop</v>
      </c>
      <c r="G1379" s="6" t="s">
        <v>33</v>
      </c>
      <c r="H1379" s="6" t="str">
        <f>IF(G1379="","Unknown",G1379)</f>
        <v>Paid Search</v>
      </c>
      <c r="I1379" s="6" t="s">
        <v>30</v>
      </c>
      <c r="J1379" s="6">
        <v>1</v>
      </c>
      <c r="K1379" s="6">
        <v>0</v>
      </c>
      <c r="L1379" s="6">
        <v>0</v>
      </c>
      <c r="M1379" s="6">
        <v>0</v>
      </c>
      <c r="N1379" s="6">
        <v>0</v>
      </c>
      <c r="O1379" s="6">
        <v>0</v>
      </c>
      <c r="P1379" s="6">
        <f>IF(O1379&gt;0,1,0)</f>
        <v>0</v>
      </c>
      <c r="Q1379" s="6">
        <v>0</v>
      </c>
      <c r="S1379" s="6">
        <v>75.400000000000006</v>
      </c>
      <c r="T1379" s="6">
        <f>IF(S1379="",MEDIAN($S$2:$S$1409),S1379)</f>
        <v>75.400000000000006</v>
      </c>
    </row>
    <row r="1380" spans="1:20" ht="15" customHeight="1">
      <c r="A1380" s="6" t="s">
        <v>1415</v>
      </c>
      <c r="B1380" s="7">
        <v>45705</v>
      </c>
      <c r="C1380" s="6" t="s">
        <v>727</v>
      </c>
      <c r="D1380" s="6" t="s">
        <v>22</v>
      </c>
      <c r="E1380" s="6" t="s">
        <v>38</v>
      </c>
      <c r="F1380" s="6" t="str">
        <f>IF(E1380="","Unknown",E1380)</f>
        <v>Tablet</v>
      </c>
      <c r="G1380" s="6" t="s">
        <v>45</v>
      </c>
      <c r="H1380" s="6" t="str">
        <f>IF(G1380="","Unknown",G1380)</f>
        <v>Social</v>
      </c>
      <c r="I1380" s="6" t="s">
        <v>25</v>
      </c>
      <c r="J1380" s="6">
        <v>1</v>
      </c>
      <c r="K1380" s="6">
        <v>1</v>
      </c>
      <c r="L1380" s="6">
        <v>1</v>
      </c>
      <c r="M1380" s="6">
        <v>1</v>
      </c>
      <c r="N1380" s="6">
        <v>751.33</v>
      </c>
      <c r="O1380" s="6">
        <v>0</v>
      </c>
      <c r="P1380" s="6">
        <f>IF(O1380&gt;0,1,0)</f>
        <v>0</v>
      </c>
      <c r="Q1380" s="6">
        <v>0</v>
      </c>
      <c r="R1380" s="6">
        <v>9</v>
      </c>
      <c r="S1380" s="6">
        <v>34</v>
      </c>
      <c r="T1380" s="6">
        <f>IF(S1380="",MEDIAN($S$2:$S$1409),S1380)</f>
        <v>34</v>
      </c>
    </row>
    <row r="1381" spans="1:20" ht="15" customHeight="1">
      <c r="A1381" s="6" t="s">
        <v>1416</v>
      </c>
      <c r="B1381" s="7">
        <v>45760</v>
      </c>
      <c r="C1381" s="6" t="s">
        <v>727</v>
      </c>
      <c r="D1381" s="6" t="s">
        <v>36</v>
      </c>
      <c r="E1381" s="6" t="s">
        <v>23</v>
      </c>
      <c r="F1381" s="6" t="str">
        <f>IF(E1381="","Unknown",E1381)</f>
        <v>Desktop</v>
      </c>
      <c r="G1381" s="6" t="s">
        <v>29</v>
      </c>
      <c r="H1381" s="6" t="str">
        <f>IF(G1381="","Unknown",G1381)</f>
        <v>Organic</v>
      </c>
      <c r="I1381" s="6" t="s">
        <v>30</v>
      </c>
      <c r="J1381" s="6">
        <v>1</v>
      </c>
      <c r="K1381" s="6">
        <v>0</v>
      </c>
      <c r="L1381" s="6">
        <v>0</v>
      </c>
      <c r="M1381" s="6">
        <v>0</v>
      </c>
      <c r="N1381" s="6">
        <v>0</v>
      </c>
      <c r="O1381" s="6">
        <v>0</v>
      </c>
      <c r="P1381" s="6">
        <f>IF(O1381&gt;0,1,0)</f>
        <v>0</v>
      </c>
      <c r="Q1381" s="6">
        <v>0</v>
      </c>
      <c r="S1381" s="6">
        <v>67.099999999999994</v>
      </c>
      <c r="T1381" s="6">
        <f>IF(S1381="",MEDIAN($S$2:$S$1409),S1381)</f>
        <v>67.099999999999994</v>
      </c>
    </row>
    <row r="1382" spans="1:20" ht="15" customHeight="1">
      <c r="A1382" s="6" t="s">
        <v>1417</v>
      </c>
      <c r="B1382" s="7">
        <v>45780</v>
      </c>
      <c r="C1382" s="6" t="s">
        <v>727</v>
      </c>
      <c r="D1382" s="6" t="s">
        <v>27</v>
      </c>
      <c r="E1382" s="6" t="s">
        <v>23</v>
      </c>
      <c r="F1382" s="6" t="str">
        <f>IF(E1382="","Unknown",E1382)</f>
        <v>Desktop</v>
      </c>
      <c r="G1382" s="6" t="s">
        <v>33</v>
      </c>
      <c r="H1382" s="6" t="str">
        <f>IF(G1382="","Unknown",G1382)</f>
        <v>Paid Search</v>
      </c>
      <c r="I1382" s="6" t="s">
        <v>34</v>
      </c>
      <c r="J1382" s="6">
        <v>1</v>
      </c>
      <c r="K1382" s="6">
        <v>0</v>
      </c>
      <c r="L1382" s="6">
        <v>0</v>
      </c>
      <c r="M1382" s="6">
        <v>0</v>
      </c>
      <c r="N1382" s="6">
        <v>0</v>
      </c>
      <c r="O1382" s="6">
        <v>0</v>
      </c>
      <c r="P1382" s="6">
        <f>IF(O1382&gt;0,1,0)</f>
        <v>0</v>
      </c>
      <c r="Q1382" s="6">
        <v>0</v>
      </c>
      <c r="S1382" s="6">
        <v>37.299999999999997</v>
      </c>
      <c r="T1382" s="6">
        <f>IF(S1382="",MEDIAN($S$2:$S$1409),S1382)</f>
        <v>37.299999999999997</v>
      </c>
    </row>
    <row r="1383" spans="1:20" ht="15" customHeight="1">
      <c r="A1383" s="6" t="s">
        <v>1418</v>
      </c>
      <c r="B1383" s="7">
        <v>45776</v>
      </c>
      <c r="C1383" s="6" t="s">
        <v>727</v>
      </c>
      <c r="D1383" s="6" t="s">
        <v>27</v>
      </c>
      <c r="E1383" s="6" t="s">
        <v>28</v>
      </c>
      <c r="F1383" s="6" t="str">
        <f>IF(E1383="","Unknown",E1383)</f>
        <v>Mobile</v>
      </c>
      <c r="G1383" s="6" t="s">
        <v>24</v>
      </c>
      <c r="H1383" s="6" t="str">
        <f>IF(G1383="","Unknown",G1383)</f>
        <v>Email</v>
      </c>
      <c r="I1383" s="6" t="s">
        <v>30</v>
      </c>
      <c r="J1383" s="6">
        <v>1</v>
      </c>
      <c r="K1383" s="6">
        <v>0</v>
      </c>
      <c r="L1383" s="6">
        <v>0</v>
      </c>
      <c r="M1383" s="6">
        <v>0</v>
      </c>
      <c r="N1383" s="6">
        <v>0</v>
      </c>
      <c r="O1383" s="6">
        <v>0</v>
      </c>
      <c r="P1383" s="6">
        <f>IF(O1383&gt;0,1,0)</f>
        <v>0</v>
      </c>
      <c r="Q1383" s="6">
        <v>0</v>
      </c>
      <c r="S1383" s="6">
        <v>54.7</v>
      </c>
      <c r="T1383" s="6">
        <f>IF(S1383="",MEDIAN($S$2:$S$1409),S1383)</f>
        <v>54.7</v>
      </c>
    </row>
    <row r="1384" spans="1:20" ht="15" customHeight="1">
      <c r="A1384" s="6" t="s">
        <v>1419</v>
      </c>
      <c r="B1384" s="7">
        <v>45780</v>
      </c>
      <c r="C1384" s="6" t="s">
        <v>727</v>
      </c>
      <c r="D1384" s="6" t="s">
        <v>32</v>
      </c>
      <c r="E1384" s="6" t="s">
        <v>23</v>
      </c>
      <c r="F1384" s="6" t="str">
        <f>IF(E1384="","Unknown",E1384)</f>
        <v>Desktop</v>
      </c>
      <c r="G1384" s="6" t="s">
        <v>33</v>
      </c>
      <c r="H1384" s="6" t="str">
        <f>IF(G1384="","Unknown",G1384)</f>
        <v>Paid Search</v>
      </c>
      <c r="I1384" s="6" t="s">
        <v>30</v>
      </c>
      <c r="J1384" s="6">
        <v>1</v>
      </c>
      <c r="K1384" s="6">
        <v>0</v>
      </c>
      <c r="L1384" s="6">
        <v>0</v>
      </c>
      <c r="M1384" s="6">
        <v>0</v>
      </c>
      <c r="N1384" s="6">
        <v>0</v>
      </c>
      <c r="O1384" s="6">
        <v>0</v>
      </c>
      <c r="P1384" s="6">
        <f>IF(O1384&gt;0,1,0)</f>
        <v>0</v>
      </c>
      <c r="Q1384" s="6">
        <v>0</v>
      </c>
      <c r="S1384" s="6">
        <v>51.8</v>
      </c>
      <c r="T1384" s="6">
        <f>IF(S1384="",MEDIAN($S$2:$S$1409),S1384)</f>
        <v>51.8</v>
      </c>
    </row>
    <row r="1385" spans="1:20" ht="15" customHeight="1">
      <c r="A1385" s="6" t="s">
        <v>1420</v>
      </c>
      <c r="B1385" s="7">
        <v>45775</v>
      </c>
      <c r="C1385" s="6" t="s">
        <v>727</v>
      </c>
      <c r="D1385" s="6" t="s">
        <v>27</v>
      </c>
      <c r="E1385" s="6" t="s">
        <v>28</v>
      </c>
      <c r="F1385" s="6" t="str">
        <f>IF(E1385="","Unknown",E1385)</f>
        <v>Mobile</v>
      </c>
      <c r="G1385" s="6" t="s">
        <v>33</v>
      </c>
      <c r="H1385" s="6" t="str">
        <f>IF(G1385="","Unknown",G1385)</f>
        <v>Paid Search</v>
      </c>
      <c r="I1385" s="6" t="s">
        <v>30</v>
      </c>
      <c r="J1385" s="6">
        <v>0</v>
      </c>
      <c r="K1385" s="6">
        <v>0</v>
      </c>
      <c r="L1385" s="6">
        <v>0</v>
      </c>
      <c r="M1385" s="6">
        <v>0</v>
      </c>
      <c r="N1385" s="6">
        <v>0</v>
      </c>
      <c r="O1385" s="6">
        <v>0</v>
      </c>
      <c r="P1385" s="6">
        <f>IF(O1385&gt;0,1,0)</f>
        <v>0</v>
      </c>
      <c r="Q1385" s="6">
        <v>0</v>
      </c>
      <c r="S1385" s="6">
        <v>49.2</v>
      </c>
      <c r="T1385" s="6">
        <f>IF(S1385="",MEDIAN($S$2:$S$1409),S1385)</f>
        <v>49.2</v>
      </c>
    </row>
    <row r="1386" spans="1:20" ht="15" customHeight="1">
      <c r="A1386" s="6" t="s">
        <v>1421</v>
      </c>
      <c r="B1386" s="7">
        <v>45678</v>
      </c>
      <c r="C1386" s="6" t="s">
        <v>727</v>
      </c>
      <c r="D1386" s="6" t="s">
        <v>27</v>
      </c>
      <c r="E1386" s="6" t="s">
        <v>28</v>
      </c>
      <c r="F1386" s="6" t="str">
        <f>IF(E1386="","Unknown",E1386)</f>
        <v>Mobile</v>
      </c>
      <c r="G1386" s="6" t="s">
        <v>29</v>
      </c>
      <c r="H1386" s="6" t="str">
        <f>IF(G1386="","Unknown",G1386)</f>
        <v>Organic</v>
      </c>
      <c r="I1386" s="6" t="s">
        <v>30</v>
      </c>
      <c r="J1386" s="6">
        <v>1</v>
      </c>
      <c r="K1386" s="6">
        <v>0</v>
      </c>
      <c r="L1386" s="6">
        <v>0</v>
      </c>
      <c r="M1386" s="6">
        <v>0</v>
      </c>
      <c r="N1386" s="6">
        <v>0</v>
      </c>
      <c r="O1386" s="6">
        <v>2</v>
      </c>
      <c r="P1386" s="6">
        <f>IF(O1386&gt;0,1,0)</f>
        <v>1</v>
      </c>
      <c r="Q1386" s="6">
        <v>0</v>
      </c>
      <c r="S1386" s="6">
        <v>58.8</v>
      </c>
      <c r="T1386" s="6">
        <f>IF(S1386="",MEDIAN($S$2:$S$1409),S1386)</f>
        <v>58.8</v>
      </c>
    </row>
    <row r="1387" spans="1:20" ht="15" customHeight="1">
      <c r="A1387" s="6" t="s">
        <v>1422</v>
      </c>
      <c r="B1387" s="7">
        <v>45678</v>
      </c>
      <c r="C1387" s="6" t="s">
        <v>727</v>
      </c>
      <c r="D1387" s="6" t="s">
        <v>22</v>
      </c>
      <c r="E1387" s="6" t="s">
        <v>38</v>
      </c>
      <c r="F1387" s="6" t="str">
        <f>IF(E1387="","Unknown",E1387)</f>
        <v>Tablet</v>
      </c>
      <c r="G1387" s="6" t="s">
        <v>33</v>
      </c>
      <c r="H1387" s="6" t="str">
        <f>IF(G1387="","Unknown",G1387)</f>
        <v>Paid Search</v>
      </c>
      <c r="I1387" s="6" t="s">
        <v>25</v>
      </c>
      <c r="J1387" s="6">
        <v>0</v>
      </c>
      <c r="K1387" s="6">
        <v>0</v>
      </c>
      <c r="L1387" s="6">
        <v>0</v>
      </c>
      <c r="M1387" s="6">
        <v>0</v>
      </c>
      <c r="N1387" s="6">
        <v>0</v>
      </c>
      <c r="O1387" s="6">
        <v>1</v>
      </c>
      <c r="P1387" s="6">
        <f>IF(O1387&gt;0,1,0)</f>
        <v>1</v>
      </c>
      <c r="Q1387" s="6">
        <v>0</v>
      </c>
      <c r="S1387" s="6">
        <v>59.1</v>
      </c>
      <c r="T1387" s="6">
        <f>IF(S1387="",MEDIAN($S$2:$S$1409),S1387)</f>
        <v>59.1</v>
      </c>
    </row>
    <row r="1388" spans="1:20" ht="15" customHeight="1">
      <c r="A1388" s="6" t="s">
        <v>1423</v>
      </c>
      <c r="B1388" s="7">
        <v>45798</v>
      </c>
      <c r="C1388" s="6" t="s">
        <v>727</v>
      </c>
      <c r="D1388" s="6" t="s">
        <v>27</v>
      </c>
      <c r="E1388" s="6" t="s">
        <v>23</v>
      </c>
      <c r="F1388" s="6" t="str">
        <f>IF(E1388="","Unknown",E1388)</f>
        <v>Desktop</v>
      </c>
      <c r="G1388" s="6" t="s">
        <v>33</v>
      </c>
      <c r="H1388" s="6" t="str">
        <f>IF(G1388="","Unknown",G1388)</f>
        <v>Paid Search</v>
      </c>
      <c r="I1388" s="6" t="s">
        <v>30</v>
      </c>
      <c r="J1388" s="6">
        <v>1</v>
      </c>
      <c r="K1388" s="6">
        <v>0</v>
      </c>
      <c r="L1388" s="6">
        <v>0</v>
      </c>
      <c r="M1388" s="6">
        <v>0</v>
      </c>
      <c r="N1388" s="6">
        <v>0</v>
      </c>
      <c r="O1388" s="6">
        <v>2</v>
      </c>
      <c r="P1388" s="6">
        <f>IF(O1388&gt;0,1,0)</f>
        <v>1</v>
      </c>
      <c r="Q1388" s="6">
        <v>0</v>
      </c>
      <c r="S1388" s="6">
        <v>49.6</v>
      </c>
      <c r="T1388" s="6">
        <f>IF(S1388="",MEDIAN($S$2:$S$1409),S1388)</f>
        <v>49.6</v>
      </c>
    </row>
    <row r="1389" spans="1:20" ht="15" customHeight="1">
      <c r="A1389" s="6" t="s">
        <v>1424</v>
      </c>
      <c r="B1389" s="7">
        <v>45662</v>
      </c>
      <c r="C1389" s="6" t="s">
        <v>727</v>
      </c>
      <c r="D1389" s="6" t="s">
        <v>22</v>
      </c>
      <c r="E1389" s="6" t="s">
        <v>28</v>
      </c>
      <c r="F1389" s="6" t="str">
        <f>IF(E1389="","Unknown",E1389)</f>
        <v>Mobile</v>
      </c>
      <c r="G1389" s="6" t="s">
        <v>43</v>
      </c>
      <c r="H1389" s="6" t="str">
        <f>IF(G1389="","Unknown",G1389)</f>
        <v>Referral</v>
      </c>
      <c r="I1389" s="6" t="s">
        <v>30</v>
      </c>
      <c r="J1389" s="6">
        <v>0</v>
      </c>
      <c r="K1389" s="6">
        <v>0</v>
      </c>
      <c r="L1389" s="6">
        <v>0</v>
      </c>
      <c r="M1389" s="6">
        <v>0</v>
      </c>
      <c r="N1389" s="6">
        <v>0</v>
      </c>
      <c r="O1389" s="6">
        <v>0</v>
      </c>
      <c r="P1389" s="6">
        <f>IF(O1389&gt;0,1,0)</f>
        <v>0</v>
      </c>
      <c r="Q1389" s="6">
        <v>0</v>
      </c>
      <c r="S1389" s="6">
        <v>58.2</v>
      </c>
      <c r="T1389" s="6">
        <f>IF(S1389="",MEDIAN($S$2:$S$1409),S1389)</f>
        <v>58.2</v>
      </c>
    </row>
    <row r="1390" spans="1:20" ht="15" customHeight="1">
      <c r="A1390" s="6" t="s">
        <v>1425</v>
      </c>
      <c r="B1390" s="7">
        <v>45722</v>
      </c>
      <c r="C1390" s="6" t="s">
        <v>727</v>
      </c>
      <c r="D1390" s="6" t="s">
        <v>36</v>
      </c>
      <c r="E1390" s="6" t="s">
        <v>23</v>
      </c>
      <c r="F1390" s="6" t="str">
        <f>IF(E1390="","Unknown",E1390)</f>
        <v>Desktop</v>
      </c>
      <c r="G1390" s="6" t="s">
        <v>29</v>
      </c>
      <c r="H1390" s="6" t="str">
        <f>IF(G1390="","Unknown",G1390)</f>
        <v>Organic</v>
      </c>
      <c r="I1390" s="6" t="s">
        <v>30</v>
      </c>
      <c r="J1390" s="6">
        <v>1</v>
      </c>
      <c r="K1390" s="6">
        <v>0</v>
      </c>
      <c r="L1390" s="6">
        <v>0</v>
      </c>
      <c r="M1390" s="6">
        <v>0</v>
      </c>
      <c r="N1390" s="6">
        <v>0</v>
      </c>
      <c r="O1390" s="6">
        <v>0</v>
      </c>
      <c r="P1390" s="6">
        <f>IF(O1390&gt;0,1,0)</f>
        <v>0</v>
      </c>
      <c r="Q1390" s="6">
        <v>0</v>
      </c>
      <c r="S1390" s="6">
        <v>66.8</v>
      </c>
      <c r="T1390" s="6">
        <f>IF(S1390="",MEDIAN($S$2:$S$1409),S1390)</f>
        <v>66.8</v>
      </c>
    </row>
    <row r="1391" spans="1:20" ht="15" customHeight="1">
      <c r="A1391" s="6" t="s">
        <v>1426</v>
      </c>
      <c r="B1391" s="7">
        <v>45765</v>
      </c>
      <c r="C1391" s="6" t="s">
        <v>727</v>
      </c>
      <c r="D1391" s="6" t="s">
        <v>22</v>
      </c>
      <c r="E1391" s="6" t="s">
        <v>28</v>
      </c>
      <c r="F1391" s="6" t="str">
        <f>IF(E1391="","Unknown",E1391)</f>
        <v>Mobile</v>
      </c>
      <c r="G1391" s="6" t="s">
        <v>33</v>
      </c>
      <c r="H1391" s="6" t="str">
        <f>IF(G1391="","Unknown",G1391)</f>
        <v>Paid Search</v>
      </c>
      <c r="I1391" s="6" t="s">
        <v>30</v>
      </c>
      <c r="J1391" s="6">
        <v>1</v>
      </c>
      <c r="K1391" s="6">
        <v>0</v>
      </c>
      <c r="L1391" s="6">
        <v>0</v>
      </c>
      <c r="M1391" s="6">
        <v>0</v>
      </c>
      <c r="N1391" s="6">
        <v>0</v>
      </c>
      <c r="O1391" s="6">
        <v>3</v>
      </c>
      <c r="P1391" s="6">
        <f>IF(O1391&gt;0,1,0)</f>
        <v>1</v>
      </c>
      <c r="Q1391" s="6">
        <v>0</v>
      </c>
      <c r="S1391" s="6">
        <v>58.3</v>
      </c>
      <c r="T1391" s="6">
        <f>IF(S1391="",MEDIAN($S$2:$S$1409),S1391)</f>
        <v>58.3</v>
      </c>
    </row>
    <row r="1392" spans="1:20" ht="15" customHeight="1">
      <c r="A1392" s="6" t="s">
        <v>1427</v>
      </c>
      <c r="B1392" s="7">
        <v>45762</v>
      </c>
      <c r="C1392" s="6" t="s">
        <v>727</v>
      </c>
      <c r="D1392" s="6" t="s">
        <v>27</v>
      </c>
      <c r="E1392" s="6" t="s">
        <v>28</v>
      </c>
      <c r="F1392" s="6" t="str">
        <f>IF(E1392="","Unknown",E1392)</f>
        <v>Mobile</v>
      </c>
      <c r="G1392" s="6" t="s">
        <v>29</v>
      </c>
      <c r="H1392" s="6" t="str">
        <f>IF(G1392="","Unknown",G1392)</f>
        <v>Organic</v>
      </c>
      <c r="I1392" s="6" t="s">
        <v>25</v>
      </c>
      <c r="J1392" s="6">
        <v>1</v>
      </c>
      <c r="K1392" s="6">
        <v>1</v>
      </c>
      <c r="L1392" s="6">
        <v>1</v>
      </c>
      <c r="M1392" s="6">
        <v>0</v>
      </c>
      <c r="N1392" s="6">
        <v>0</v>
      </c>
      <c r="O1392" s="6">
        <v>0</v>
      </c>
      <c r="P1392" s="6">
        <f>IF(O1392&gt;0,1,0)</f>
        <v>0</v>
      </c>
      <c r="Q1392" s="6">
        <v>0</v>
      </c>
      <c r="S1392" s="6">
        <v>38.5</v>
      </c>
      <c r="T1392" s="6">
        <f>IF(S1392="",MEDIAN($S$2:$S$1409),S1392)</f>
        <v>38.5</v>
      </c>
    </row>
    <row r="1393" spans="1:20" ht="15" customHeight="1">
      <c r="A1393" s="6" t="s">
        <v>1428</v>
      </c>
      <c r="B1393" s="7">
        <v>45698</v>
      </c>
      <c r="C1393" s="6" t="s">
        <v>727</v>
      </c>
      <c r="D1393" s="6" t="s">
        <v>32</v>
      </c>
      <c r="E1393" s="6" t="s">
        <v>28</v>
      </c>
      <c r="F1393" s="6" t="str">
        <f>IF(E1393="","Unknown",E1393)</f>
        <v>Mobile</v>
      </c>
      <c r="G1393" s="6" t="s">
        <v>33</v>
      </c>
      <c r="H1393" s="6" t="str">
        <f>IF(G1393="","Unknown",G1393)</f>
        <v>Paid Search</v>
      </c>
      <c r="I1393" s="6" t="s">
        <v>30</v>
      </c>
      <c r="J1393" s="6">
        <v>1</v>
      </c>
      <c r="K1393" s="6">
        <v>0</v>
      </c>
      <c r="L1393" s="6">
        <v>0</v>
      </c>
      <c r="M1393" s="6">
        <v>0</v>
      </c>
      <c r="N1393" s="6">
        <v>0</v>
      </c>
      <c r="O1393" s="6">
        <v>0</v>
      </c>
      <c r="P1393" s="6">
        <f>IF(O1393&gt;0,1,0)</f>
        <v>0</v>
      </c>
      <c r="Q1393" s="6">
        <v>0</v>
      </c>
      <c r="S1393" s="6">
        <v>76.900000000000006</v>
      </c>
      <c r="T1393" s="6">
        <f>IF(S1393="",MEDIAN($S$2:$S$1409),S1393)</f>
        <v>76.900000000000006</v>
      </c>
    </row>
    <row r="1394" spans="1:20" ht="15" customHeight="1">
      <c r="A1394" s="6" t="s">
        <v>1429</v>
      </c>
      <c r="B1394" s="7">
        <v>45785</v>
      </c>
      <c r="C1394" s="6" t="s">
        <v>727</v>
      </c>
      <c r="D1394" s="6" t="s">
        <v>32</v>
      </c>
      <c r="E1394" s="6" t="s">
        <v>28</v>
      </c>
      <c r="F1394" s="6" t="str">
        <f>IF(E1394="","Unknown",E1394)</f>
        <v>Mobile</v>
      </c>
      <c r="G1394" s="6" t="s">
        <v>29</v>
      </c>
      <c r="H1394" s="6" t="str">
        <f>IF(G1394="","Unknown",G1394)</f>
        <v>Organic</v>
      </c>
      <c r="I1394" s="6" t="s">
        <v>30</v>
      </c>
      <c r="J1394" s="6">
        <v>1</v>
      </c>
      <c r="K1394" s="6">
        <v>0</v>
      </c>
      <c r="L1394" s="6">
        <v>0</v>
      </c>
      <c r="M1394" s="6">
        <v>0</v>
      </c>
      <c r="N1394" s="6">
        <v>0</v>
      </c>
      <c r="O1394" s="6">
        <v>0</v>
      </c>
      <c r="P1394" s="6">
        <f>IF(O1394&gt;0,1,0)</f>
        <v>0</v>
      </c>
      <c r="Q1394" s="6">
        <v>0</v>
      </c>
      <c r="S1394" s="6">
        <v>54</v>
      </c>
      <c r="T1394" s="6">
        <f>IF(S1394="",MEDIAN($S$2:$S$1409),S1394)</f>
        <v>54</v>
      </c>
    </row>
    <row r="1395" spans="1:20" ht="15" customHeight="1">
      <c r="A1395" s="6" t="s">
        <v>1430</v>
      </c>
      <c r="B1395" s="7">
        <v>45805</v>
      </c>
      <c r="C1395" s="6" t="s">
        <v>727</v>
      </c>
      <c r="D1395" s="6" t="s">
        <v>32</v>
      </c>
      <c r="E1395" s="6" t="s">
        <v>38</v>
      </c>
      <c r="F1395" s="6" t="str">
        <f>IF(E1395="","Unknown",E1395)</f>
        <v>Tablet</v>
      </c>
      <c r="G1395" s="6" t="s">
        <v>29</v>
      </c>
      <c r="H1395" s="6" t="str">
        <f>IF(G1395="","Unknown",G1395)</f>
        <v>Organic</v>
      </c>
      <c r="I1395" s="6" t="s">
        <v>30</v>
      </c>
      <c r="J1395" s="6">
        <v>1</v>
      </c>
      <c r="K1395" s="6">
        <v>0</v>
      </c>
      <c r="L1395" s="6">
        <v>0</v>
      </c>
      <c r="M1395" s="6">
        <v>0</v>
      </c>
      <c r="N1395" s="6">
        <v>0</v>
      </c>
      <c r="O1395" s="6">
        <v>0</v>
      </c>
      <c r="P1395" s="6">
        <f>IF(O1395&gt;0,1,0)</f>
        <v>0</v>
      </c>
      <c r="Q1395" s="6">
        <v>0</v>
      </c>
      <c r="S1395" s="6">
        <v>70.599999999999994</v>
      </c>
      <c r="T1395" s="6">
        <f>IF(S1395="",MEDIAN($S$2:$S$1409),S1395)</f>
        <v>70.599999999999994</v>
      </c>
    </row>
    <row r="1396" spans="1:20" ht="15" customHeight="1">
      <c r="A1396" s="6" t="s">
        <v>1431</v>
      </c>
      <c r="B1396" s="7">
        <v>45772</v>
      </c>
      <c r="C1396" s="6" t="s">
        <v>727</v>
      </c>
      <c r="D1396" s="6" t="s">
        <v>22</v>
      </c>
      <c r="E1396" s="6" t="s">
        <v>38</v>
      </c>
      <c r="F1396" s="6" t="str">
        <f>IF(E1396="","Unknown",E1396)</f>
        <v>Tablet</v>
      </c>
      <c r="G1396" s="6" t="s">
        <v>43</v>
      </c>
      <c r="H1396" s="6" t="str">
        <f>IF(G1396="","Unknown",G1396)</f>
        <v>Referral</v>
      </c>
      <c r="I1396" s="6" t="s">
        <v>34</v>
      </c>
      <c r="J1396" s="6">
        <v>1</v>
      </c>
      <c r="K1396" s="6">
        <v>1</v>
      </c>
      <c r="L1396" s="6">
        <v>1</v>
      </c>
      <c r="M1396" s="6">
        <v>0</v>
      </c>
      <c r="N1396" s="6">
        <v>0</v>
      </c>
      <c r="O1396" s="6">
        <v>1</v>
      </c>
      <c r="P1396" s="6">
        <f>IF(O1396&gt;0,1,0)</f>
        <v>1</v>
      </c>
      <c r="Q1396" s="6">
        <v>0</v>
      </c>
      <c r="S1396" s="6">
        <v>69.400000000000006</v>
      </c>
      <c r="T1396" s="6">
        <f>IF(S1396="",MEDIAN($S$2:$S$1409),S1396)</f>
        <v>69.400000000000006</v>
      </c>
    </row>
    <row r="1397" spans="1:20" ht="15" customHeight="1">
      <c r="A1397" s="6" t="s">
        <v>1432</v>
      </c>
      <c r="B1397" s="7">
        <v>45699</v>
      </c>
      <c r="C1397" s="6" t="s">
        <v>727</v>
      </c>
      <c r="D1397" s="6" t="s">
        <v>36</v>
      </c>
      <c r="E1397" s="6" t="s">
        <v>28</v>
      </c>
      <c r="F1397" s="6" t="str">
        <f>IF(E1397="","Unknown",E1397)</f>
        <v>Mobile</v>
      </c>
      <c r="G1397" s="6"/>
      <c r="H1397" s="6" t="str">
        <f>IF(G1397="","Unknown",G1397)</f>
        <v>Unknown</v>
      </c>
      <c r="I1397" s="6" t="s">
        <v>34</v>
      </c>
      <c r="J1397" s="6">
        <v>1</v>
      </c>
      <c r="K1397" s="6">
        <v>1</v>
      </c>
      <c r="L1397" s="6">
        <v>1</v>
      </c>
      <c r="M1397" s="6">
        <v>1</v>
      </c>
      <c r="N1397" s="6">
        <v>1009.9</v>
      </c>
      <c r="O1397" s="6">
        <v>0</v>
      </c>
      <c r="P1397" s="6">
        <f>IF(O1397&gt;0,1,0)</f>
        <v>0</v>
      </c>
      <c r="Q1397" s="6">
        <v>0</v>
      </c>
      <c r="R1397" s="6">
        <v>6</v>
      </c>
      <c r="S1397" s="6">
        <v>89.7</v>
      </c>
      <c r="T1397" s="6">
        <f>IF(S1397="",MEDIAN($S$2:$S$1409),S1397)</f>
        <v>89.7</v>
      </c>
    </row>
    <row r="1398" spans="1:20" ht="15" customHeight="1">
      <c r="A1398" s="6" t="s">
        <v>1433</v>
      </c>
      <c r="B1398" s="7">
        <v>45761</v>
      </c>
      <c r="C1398" s="6" t="s">
        <v>727</v>
      </c>
      <c r="D1398" s="6" t="s">
        <v>27</v>
      </c>
      <c r="E1398" s="6" t="s">
        <v>28</v>
      </c>
      <c r="F1398" s="6" t="str">
        <f>IF(E1398="","Unknown",E1398)</f>
        <v>Mobile</v>
      </c>
      <c r="G1398" s="6" t="s">
        <v>29</v>
      </c>
      <c r="H1398" s="6" t="str">
        <f>IF(G1398="","Unknown",G1398)</f>
        <v>Organic</v>
      </c>
      <c r="I1398" s="6" t="s">
        <v>30</v>
      </c>
      <c r="J1398" s="6">
        <v>1</v>
      </c>
      <c r="K1398" s="6">
        <v>0</v>
      </c>
      <c r="L1398" s="6">
        <v>0</v>
      </c>
      <c r="M1398" s="6">
        <v>0</v>
      </c>
      <c r="N1398" s="6">
        <v>0</v>
      </c>
      <c r="O1398" s="6">
        <v>0</v>
      </c>
      <c r="P1398" s="6">
        <f>IF(O1398&gt;0,1,0)</f>
        <v>0</v>
      </c>
      <c r="Q1398" s="6">
        <v>0</v>
      </c>
      <c r="S1398" s="6">
        <v>62.4</v>
      </c>
      <c r="T1398" s="6">
        <f>IF(S1398="",MEDIAN($S$2:$S$1409),S1398)</f>
        <v>62.4</v>
      </c>
    </row>
    <row r="1399" spans="1:20" ht="15" customHeight="1">
      <c r="A1399" s="6" t="s">
        <v>1434</v>
      </c>
      <c r="B1399" s="7">
        <v>45692</v>
      </c>
      <c r="C1399" s="6" t="s">
        <v>727</v>
      </c>
      <c r="D1399" s="6" t="s">
        <v>27</v>
      </c>
      <c r="E1399" s="6" t="s">
        <v>38</v>
      </c>
      <c r="F1399" s="6" t="str">
        <f>IF(E1399="","Unknown",E1399)</f>
        <v>Tablet</v>
      </c>
      <c r="G1399" s="6" t="s">
        <v>29</v>
      </c>
      <c r="H1399" s="6" t="str">
        <f>IF(G1399="","Unknown",G1399)</f>
        <v>Organic</v>
      </c>
      <c r="I1399" s="6" t="s">
        <v>34</v>
      </c>
      <c r="J1399" s="6">
        <v>0</v>
      </c>
      <c r="K1399" s="6">
        <v>0</v>
      </c>
      <c r="L1399" s="6">
        <v>0</v>
      </c>
      <c r="M1399" s="6">
        <v>0</v>
      </c>
      <c r="N1399" s="6">
        <v>0</v>
      </c>
      <c r="O1399" s="6">
        <v>0</v>
      </c>
      <c r="P1399" s="6">
        <f>IF(O1399&gt;0,1,0)</f>
        <v>0</v>
      </c>
      <c r="Q1399" s="6">
        <v>0</v>
      </c>
      <c r="S1399" s="6">
        <v>67.3</v>
      </c>
      <c r="T1399" s="6">
        <f>IF(S1399="",MEDIAN($S$2:$S$1409),S1399)</f>
        <v>67.3</v>
      </c>
    </row>
    <row r="1400" spans="1:20" ht="15" customHeight="1">
      <c r="A1400" s="6" t="s">
        <v>1435</v>
      </c>
      <c r="B1400" s="7">
        <v>45738</v>
      </c>
      <c r="C1400" s="6" t="s">
        <v>727</v>
      </c>
      <c r="D1400" s="6" t="s">
        <v>32</v>
      </c>
      <c r="E1400" s="6" t="s">
        <v>28</v>
      </c>
      <c r="F1400" s="6" t="str">
        <f>IF(E1400="","Unknown",E1400)</f>
        <v>Mobile</v>
      </c>
      <c r="G1400" s="6" t="s">
        <v>43</v>
      </c>
      <c r="H1400" s="6" t="str">
        <f>IF(G1400="","Unknown",G1400)</f>
        <v>Referral</v>
      </c>
      <c r="I1400" s="6" t="s">
        <v>30</v>
      </c>
      <c r="J1400" s="6">
        <v>1</v>
      </c>
      <c r="K1400" s="6">
        <v>0</v>
      </c>
      <c r="L1400" s="6">
        <v>0</v>
      </c>
      <c r="M1400" s="6">
        <v>0</v>
      </c>
      <c r="N1400" s="6">
        <v>0</v>
      </c>
      <c r="O1400" s="6">
        <v>0</v>
      </c>
      <c r="P1400" s="6">
        <f>IF(O1400&gt;0,1,0)</f>
        <v>0</v>
      </c>
      <c r="Q1400" s="6">
        <v>0</v>
      </c>
      <c r="S1400" s="6">
        <v>54.9</v>
      </c>
      <c r="T1400" s="6">
        <f>IF(S1400="",MEDIAN($S$2:$S$1409),S1400)</f>
        <v>54.9</v>
      </c>
    </row>
    <row r="1401" spans="1:20" ht="15" customHeight="1">
      <c r="A1401" s="6" t="s">
        <v>1436</v>
      </c>
      <c r="B1401" s="7">
        <v>45765</v>
      </c>
      <c r="C1401" s="6" t="s">
        <v>727</v>
      </c>
      <c r="D1401" s="6" t="s">
        <v>32</v>
      </c>
      <c r="E1401" s="6" t="s">
        <v>23</v>
      </c>
      <c r="F1401" s="6" t="str">
        <f>IF(E1401="","Unknown",E1401)</f>
        <v>Desktop</v>
      </c>
      <c r="G1401" s="6" t="s">
        <v>45</v>
      </c>
      <c r="H1401" s="6" t="str">
        <f>IF(G1401="","Unknown",G1401)</f>
        <v>Social</v>
      </c>
      <c r="I1401" s="6" t="s">
        <v>30</v>
      </c>
      <c r="J1401" s="6">
        <v>0</v>
      </c>
      <c r="K1401" s="6">
        <v>0</v>
      </c>
      <c r="L1401" s="6">
        <v>0</v>
      </c>
      <c r="M1401" s="6">
        <v>0</v>
      </c>
      <c r="N1401" s="6">
        <v>0</v>
      </c>
      <c r="O1401" s="6">
        <v>0</v>
      </c>
      <c r="P1401" s="6">
        <f>IF(O1401&gt;0,1,0)</f>
        <v>0</v>
      </c>
      <c r="Q1401" s="6">
        <v>0</v>
      </c>
      <c r="S1401" s="6">
        <v>55.7</v>
      </c>
      <c r="T1401" s="6">
        <f>IF(S1401="",MEDIAN($S$2:$S$1409),S1401)</f>
        <v>55.7</v>
      </c>
    </row>
    <row r="1402" spans="1:20" ht="15" customHeight="1">
      <c r="A1402" s="6" t="s">
        <v>953</v>
      </c>
      <c r="B1402" s="7">
        <v>45711</v>
      </c>
      <c r="C1402" s="6" t="s">
        <v>727</v>
      </c>
      <c r="D1402" s="6" t="s">
        <v>27</v>
      </c>
      <c r="E1402" s="6" t="s">
        <v>23</v>
      </c>
      <c r="F1402" s="6" t="str">
        <f>IF(E1402="","Unknown",E1402)</f>
        <v>Desktop</v>
      </c>
      <c r="G1402" s="6" t="s">
        <v>45</v>
      </c>
      <c r="H1402" s="6" t="str">
        <f>IF(G1402="","Unknown",G1402)</f>
        <v>Social</v>
      </c>
      <c r="I1402" s="6" t="s">
        <v>25</v>
      </c>
      <c r="J1402" s="6">
        <v>1</v>
      </c>
      <c r="K1402" s="6">
        <v>1</v>
      </c>
      <c r="L1402" s="6">
        <v>1</v>
      </c>
      <c r="M1402" s="6">
        <v>0</v>
      </c>
      <c r="N1402" s="6">
        <v>0</v>
      </c>
      <c r="O1402" s="6">
        <v>0</v>
      </c>
      <c r="P1402" s="6">
        <f>IF(O1402&gt;0,1,0)</f>
        <v>0</v>
      </c>
      <c r="Q1402" s="6">
        <v>0</v>
      </c>
      <c r="S1402" s="6">
        <v>70.599999999999994</v>
      </c>
      <c r="T1402" s="6">
        <f>IF(S1402="",MEDIAN($S$2:$S$1409),S1402)</f>
        <v>70.599999999999994</v>
      </c>
    </row>
    <row r="1403" spans="1:20" ht="15" customHeight="1">
      <c r="A1403" s="6" t="s">
        <v>468</v>
      </c>
      <c r="B1403" s="7">
        <v>45691</v>
      </c>
      <c r="C1403" s="6" t="s">
        <v>21</v>
      </c>
      <c r="D1403" s="6" t="s">
        <v>22</v>
      </c>
      <c r="E1403" s="6" t="s">
        <v>38</v>
      </c>
      <c r="F1403" s="6" t="str">
        <f>IF(E1403="","Unknown",E1403)</f>
        <v>Tablet</v>
      </c>
      <c r="G1403" s="6" t="s">
        <v>24</v>
      </c>
      <c r="H1403" s="6" t="str">
        <f>IF(G1403="","Unknown",G1403)</f>
        <v>Email</v>
      </c>
      <c r="I1403" s="6" t="s">
        <v>25</v>
      </c>
      <c r="J1403" s="6">
        <v>1</v>
      </c>
      <c r="K1403" s="6">
        <v>0</v>
      </c>
      <c r="L1403" s="6">
        <v>0</v>
      </c>
      <c r="M1403" s="6">
        <v>0</v>
      </c>
      <c r="N1403" s="6">
        <v>0</v>
      </c>
      <c r="O1403" s="6">
        <v>0</v>
      </c>
      <c r="P1403" s="6">
        <f>IF(O1403&gt;0,1,0)</f>
        <v>0</v>
      </c>
      <c r="Q1403" s="6">
        <v>0</v>
      </c>
      <c r="S1403" s="6">
        <v>60.9</v>
      </c>
      <c r="T1403" s="6">
        <f>IF(S1403="",MEDIAN($S$2:$S$1409),S1403)</f>
        <v>60.9</v>
      </c>
    </row>
    <row r="1404" spans="1:20" ht="15" customHeight="1">
      <c r="A1404" s="6" t="s">
        <v>1398</v>
      </c>
      <c r="B1404" s="7">
        <v>45800</v>
      </c>
      <c r="C1404" s="6" t="s">
        <v>727</v>
      </c>
      <c r="D1404" s="6" t="s">
        <v>32</v>
      </c>
      <c r="E1404" s="6" t="s">
        <v>28</v>
      </c>
      <c r="F1404" s="6" t="str">
        <f>IF(E1404="","Unknown",E1404)</f>
        <v>Mobile</v>
      </c>
      <c r="G1404" s="6" t="s">
        <v>29</v>
      </c>
      <c r="H1404" s="6" t="str">
        <f>IF(G1404="","Unknown",G1404)</f>
        <v>Organic</v>
      </c>
      <c r="I1404" s="6" t="s">
        <v>25</v>
      </c>
      <c r="J1404" s="6">
        <v>1</v>
      </c>
      <c r="K1404" s="6"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f>IF(O1404&gt;0,1,0)</f>
        <v>0</v>
      </c>
      <c r="Q1404" s="6">
        <v>0</v>
      </c>
      <c r="S1404" s="6">
        <v>33.6</v>
      </c>
      <c r="T1404" s="6">
        <f>IF(S1404="",MEDIAN($S$2:$S$1409),S1404)</f>
        <v>33.6</v>
      </c>
    </row>
    <row r="1405" spans="1:20" ht="15" customHeight="1">
      <c r="A1405" s="6" t="s">
        <v>131</v>
      </c>
      <c r="B1405" s="7">
        <v>45693</v>
      </c>
      <c r="C1405" s="6" t="s">
        <v>21</v>
      </c>
      <c r="D1405" s="6" t="s">
        <v>32</v>
      </c>
      <c r="E1405" s="6" t="s">
        <v>28</v>
      </c>
      <c r="F1405" s="6" t="str">
        <f>IF(E1405="","Unknown",E1405)</f>
        <v>Mobile</v>
      </c>
      <c r="G1405" s="6" t="s">
        <v>45</v>
      </c>
      <c r="H1405" s="6" t="str">
        <f>IF(G1405="","Unknown",G1405)</f>
        <v>Social</v>
      </c>
      <c r="I1405" s="6" t="s">
        <v>30</v>
      </c>
      <c r="J1405" s="6">
        <v>0</v>
      </c>
      <c r="K1405" s="6">
        <v>0</v>
      </c>
      <c r="L1405" s="6">
        <v>0</v>
      </c>
      <c r="M1405" s="6">
        <v>0</v>
      </c>
      <c r="N1405" s="6">
        <v>0</v>
      </c>
      <c r="O1405" s="6">
        <v>0</v>
      </c>
      <c r="P1405" s="6">
        <f>IF(O1405&gt;0,1,0)</f>
        <v>0</v>
      </c>
      <c r="Q1405" s="6">
        <v>0</v>
      </c>
      <c r="S1405" s="6">
        <v>68</v>
      </c>
      <c r="T1405" s="6">
        <f>IF(S1405="",MEDIAN($S$2:$S$1409),S1405)</f>
        <v>68</v>
      </c>
    </row>
    <row r="1406" spans="1:20" ht="15" customHeight="1">
      <c r="A1406" s="6" t="s">
        <v>1246</v>
      </c>
      <c r="B1406" s="7">
        <v>45712</v>
      </c>
      <c r="C1406" s="6" t="s">
        <v>727</v>
      </c>
      <c r="D1406" s="6" t="s">
        <v>27</v>
      </c>
      <c r="E1406" s="6" t="s">
        <v>28</v>
      </c>
      <c r="F1406" s="6" t="str">
        <f>IF(E1406="","Unknown",E1406)</f>
        <v>Mobile</v>
      </c>
      <c r="G1406" s="6" t="s">
        <v>29</v>
      </c>
      <c r="H1406" s="6" t="str">
        <f>IF(G1406="","Unknown",G1406)</f>
        <v>Organic</v>
      </c>
      <c r="I1406" s="6" t="s">
        <v>25</v>
      </c>
      <c r="J1406" s="6">
        <v>1</v>
      </c>
      <c r="K1406" s="6">
        <v>0</v>
      </c>
      <c r="L1406" s="6">
        <v>0</v>
      </c>
      <c r="M1406" s="6">
        <v>0</v>
      </c>
      <c r="N1406" s="6">
        <v>0</v>
      </c>
      <c r="O1406" s="6">
        <v>0</v>
      </c>
      <c r="P1406" s="6">
        <f>IF(O1406&gt;0,1,0)</f>
        <v>0</v>
      </c>
      <c r="Q1406" s="6">
        <v>0</v>
      </c>
      <c r="S1406" s="6">
        <v>62</v>
      </c>
      <c r="T1406" s="6">
        <f>IF(S1406="",MEDIAN($S$2:$S$1409),S1406)</f>
        <v>62</v>
      </c>
    </row>
    <row r="1407" spans="1:20" ht="15" customHeight="1">
      <c r="A1407" s="6" t="s">
        <v>1268</v>
      </c>
      <c r="B1407" s="7">
        <v>45746</v>
      </c>
      <c r="C1407" s="6" t="s">
        <v>727</v>
      </c>
      <c r="D1407" s="6" t="s">
        <v>32</v>
      </c>
      <c r="E1407" s="6" t="s">
        <v>28</v>
      </c>
      <c r="F1407" s="6" t="str">
        <f>IF(E1407="","Unknown",E1407)</f>
        <v>Mobile</v>
      </c>
      <c r="G1407" s="6" t="s">
        <v>29</v>
      </c>
      <c r="H1407" s="6" t="str">
        <f>IF(G1407="","Unknown",G1407)</f>
        <v>Organic</v>
      </c>
      <c r="I1407" s="6" t="s">
        <v>30</v>
      </c>
      <c r="J1407" s="6">
        <v>1</v>
      </c>
      <c r="K1407" s="6">
        <v>1</v>
      </c>
      <c r="L1407" s="6">
        <v>1</v>
      </c>
      <c r="M1407" s="6">
        <v>0</v>
      </c>
      <c r="N1407" s="6">
        <v>0</v>
      </c>
      <c r="O1407" s="6">
        <v>1</v>
      </c>
      <c r="P1407" s="6">
        <f>IF(O1407&gt;0,1,0)</f>
        <v>1</v>
      </c>
      <c r="Q1407" s="6">
        <v>0</v>
      </c>
      <c r="S1407" s="6">
        <v>72.5</v>
      </c>
      <c r="T1407" s="6">
        <f>IF(S1407="",MEDIAN($S$2:$S$1409),S1407)</f>
        <v>72.5</v>
      </c>
    </row>
    <row r="1408" spans="1:20" ht="15" customHeight="1">
      <c r="A1408" s="6" t="s">
        <v>1095</v>
      </c>
      <c r="B1408" s="7">
        <v>45793</v>
      </c>
      <c r="C1408" s="6" t="s">
        <v>727</v>
      </c>
      <c r="D1408" s="6" t="s">
        <v>36</v>
      </c>
      <c r="E1408" s="6" t="s">
        <v>28</v>
      </c>
      <c r="F1408" s="6" t="str">
        <f>IF(E1408="","Unknown",E1408)</f>
        <v>Mobile</v>
      </c>
      <c r="G1408" s="6" t="s">
        <v>29</v>
      </c>
      <c r="H1408" s="6" t="str">
        <f>IF(G1408="","Unknown",G1408)</f>
        <v>Organic</v>
      </c>
      <c r="I1408" s="6" t="s">
        <v>30</v>
      </c>
      <c r="J1408" s="6">
        <v>1</v>
      </c>
      <c r="K1408" s="6">
        <v>0</v>
      </c>
      <c r="L1408" s="6">
        <v>0</v>
      </c>
      <c r="M1408" s="6">
        <v>0</v>
      </c>
      <c r="N1408" s="6">
        <v>0</v>
      </c>
      <c r="O1408" s="6">
        <v>0</v>
      </c>
      <c r="P1408" s="6">
        <f>IF(O1408&gt;0,1,0)</f>
        <v>0</v>
      </c>
      <c r="Q1408" s="6">
        <v>0</v>
      </c>
      <c r="S1408" s="6">
        <v>70.3</v>
      </c>
      <c r="T1408" s="6">
        <f>IF(S1408="",MEDIAN($S$2:$S$1409),S1408)</f>
        <v>70.3</v>
      </c>
    </row>
    <row r="1409" spans="1:20" ht="15" customHeight="1">
      <c r="A1409" s="6" t="s">
        <v>576</v>
      </c>
      <c r="B1409" s="7">
        <v>45799</v>
      </c>
      <c r="C1409" s="6" t="s">
        <v>21</v>
      </c>
      <c r="D1409" s="6" t="s">
        <v>22</v>
      </c>
      <c r="E1409" s="6" t="s">
        <v>28</v>
      </c>
      <c r="F1409" s="6" t="str">
        <f>IF(E1409="","Unknown",E1409)</f>
        <v>Mobile</v>
      </c>
      <c r="G1409" s="6" t="s">
        <v>33</v>
      </c>
      <c r="H1409" s="6" t="str">
        <f>IF(G1409="","Unknown",G1409)</f>
        <v>Paid Search</v>
      </c>
      <c r="I1409" s="6" t="s">
        <v>25</v>
      </c>
      <c r="J1409" s="6">
        <v>1</v>
      </c>
      <c r="K1409" s="6">
        <v>1</v>
      </c>
      <c r="L1409" s="6">
        <v>0</v>
      </c>
      <c r="M1409" s="6">
        <v>0</v>
      </c>
      <c r="N1409" s="6">
        <v>0</v>
      </c>
      <c r="O1409" s="6">
        <v>0</v>
      </c>
      <c r="P1409" s="6">
        <f>IF(O1409&gt;0,1,0)</f>
        <v>0</v>
      </c>
      <c r="Q1409" s="6">
        <v>0</v>
      </c>
      <c r="S1409" s="6">
        <v>39.9</v>
      </c>
      <c r="T1409" s="6">
        <f>IF(S1409="",MEDIAN($S$2:$S$1409),S1409)</f>
        <v>39.9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showGridLines="0" workbookViewId="0">
      <pane ySplit="1" topLeftCell="A2" activePane="bottomLeft" state="frozen"/>
      <selection pane="bottomLeft" activeCell="C2" sqref="C2"/>
    </sheetView>
  </sheetViews>
  <sheetFormatPr defaultRowHeight="14.25"/>
  <cols>
    <col min="1" max="1" width="12" customWidth="1"/>
    <col min="2" max="2" width="23.875" customWidth="1"/>
    <col min="3" max="12" width="36" customWidth="1"/>
    <col min="13" max="15950" width="11" bestFit="1" customWidth="1"/>
    <col min="15951" max="16384" width="11" customWidth="1"/>
  </cols>
  <sheetData>
    <row r="1" spans="1:12" s="21" customFormat="1" ht="30.75" customHeight="1">
      <c r="A1" s="33" t="s">
        <v>1437</v>
      </c>
      <c r="B1" s="34" t="s">
        <v>1438</v>
      </c>
      <c r="C1" s="33" t="s">
        <v>1439</v>
      </c>
      <c r="D1" s="34" t="s">
        <v>1440</v>
      </c>
      <c r="E1" s="33" t="s">
        <v>1441</v>
      </c>
      <c r="F1" s="34" t="s">
        <v>1442</v>
      </c>
      <c r="G1" s="33" t="s">
        <v>1443</v>
      </c>
      <c r="H1" s="34" t="s">
        <v>1444</v>
      </c>
      <c r="I1" s="33" t="s">
        <v>1445</v>
      </c>
      <c r="J1" s="34" t="s">
        <v>1446</v>
      </c>
      <c r="K1" s="33" t="s">
        <v>1447</v>
      </c>
      <c r="L1" s="34" t="s">
        <v>1448</v>
      </c>
    </row>
    <row r="2" spans="1:12" s="26" customFormat="1" ht="15" customHeight="1">
      <c r="A2" s="22" t="s">
        <v>21</v>
      </c>
      <c r="B2" s="27">
        <f>COUNTIF(clean_data!$C$2:$C$1409,"Control")</f>
        <v>693</v>
      </c>
      <c r="C2" s="23">
        <f>SUMIFS(clean_data!$J$2:$J$1409,clean_data!$C$2:$C$1409,"Control")/COUNTIF(clean_data!$C$2:$C$1409,"Control")</f>
        <v>0.63636363636363635</v>
      </c>
      <c r="D2" s="29">
        <f>SUMIFS(clean_data!$K$2:$K$1409,clean_data!$C$2:$C$1409,"Control")/COUNTIF(clean_data!$C$2:$C$1409,"Control")</f>
        <v>0.25108225108225107</v>
      </c>
      <c r="E2" s="23">
        <f>SUMIFS(clean_data!$L$2:$L$1409,clean_data!$C$2:$C$1409,"Control")/COUNTIF(clean_data!$C$2:$C$1409,"Control")</f>
        <v>0.15584415584415584</v>
      </c>
      <c r="F2" s="29">
        <f>SUMIFS(clean_data!$M$2:$M$1409,clean_data!$C$2:$C$1409,"Control")/COUNTIF(clean_data!$C$2:$C$1409,"Control")</f>
        <v>3.1746031746031744E-2</v>
      </c>
      <c r="G2" s="24">
        <f>SUMIFS(clean_data!$N$2:$N$1409,clean_data!$C$2:$C$1409,"Control")/COUNTIF(clean_data!$C$2:$C$1409,"Control")</f>
        <v>51.74932178932179</v>
      </c>
      <c r="H2" s="30">
        <f>SUMIFS(clean_data!$N$2:$N$1409,clean_data!$C$2:$C$1409,"Control",clean_data!$M$2:$M$1409,1)/COUNTIFS(clean_data!$C$2:$C$1409,"Control",clean_data!$M$2:$M$1409,1)</f>
        <v>1630.1036363636363</v>
      </c>
      <c r="I2" s="23">
        <f>SUMIFS(clean_data!$Q$2:$Q$1409,clean_data!$C$2:$C$1409,"Control")/COUNTIF(clean_data!$C$2:$C$1409,"Control")</f>
        <v>0</v>
      </c>
      <c r="J2" s="29">
        <f>SUMIFS(clean_data!$P$2:$P$1409,clean_data!$C$2:$C$1409,"Control")/COUNTIF(clean_data!$C$2:$C$1409,"Control")</f>
        <v>0.1471861471861472</v>
      </c>
      <c r="K2" s="25">
        <f>AVERAGEIFS(clean_data!$T$2:$T$1409,clean_data!$C$2:$C$1409,"Control")</f>
        <v>57.051082251082306</v>
      </c>
      <c r="L2" s="31">
        <f>AVERAGEIFS(clean_data!$R$2:$R$1409,clean_data!$C$2:$C$1409,"Control",clean_data!$M$2:$M$1409,1)</f>
        <v>8.8636363636363633</v>
      </c>
    </row>
    <row r="3" spans="1:12" s="26" customFormat="1" ht="15" customHeight="1">
      <c r="A3" s="22" t="s">
        <v>727</v>
      </c>
      <c r="B3" s="27">
        <f>COUNTIF(clean_data!$C$2:$C$1409,"Treatment")</f>
        <v>715</v>
      </c>
      <c r="C3" s="23">
        <f>SUMIFS(clean_data!$J$2:$J$1409,clean_data!$C$2:$C$1409,"Treatment")/COUNTIF(clean_data!$C$2:$C$1409,"Treatment")</f>
        <v>0.72587412587412592</v>
      </c>
      <c r="D3" s="29">
        <f>SUMIFS(clean_data!$K$2:$K$1409,clean_data!$C$2:$C$1409,"Treatment")/COUNTIF(clean_data!$C$2:$C$1409,"Treatment")</f>
        <v>0.29090909090909089</v>
      </c>
      <c r="E3" s="23">
        <f>SUMIFS(clean_data!$L$2:$L$1409,clean_data!$C$2:$C$1409,"Treatment")/COUNTIF(clean_data!$C$2:$C$1409,"Treatment")</f>
        <v>0.21258741258741259</v>
      </c>
      <c r="F3" s="29">
        <f>SUMIFS(clean_data!$M$2:$M$1409,clean_data!$C$2:$C$1409,"Treatment")/COUNTIF(clean_data!$C$2:$C$1409,"Treatment")</f>
        <v>6.9930069930069935E-2</v>
      </c>
      <c r="G3" s="24">
        <f>SUMIFS(clean_data!$N$2:$N$1409,clean_data!$C$2:$C$1409,"Treatment")/COUNTIF(clean_data!$C$2:$C$1409,"Treatment")</f>
        <v>53.875118881118873</v>
      </c>
      <c r="H3" s="30">
        <f>SUMIFS(clean_data!$N$2:$N$1409,clean_data!$C$2:$C$1409,"Treatment",clean_data!$M$2:$M$1409,1)/COUNTIFS(clean_data!$C$2:$C$1409,"Treatment",clean_data!$M$2:$M$1409,1)</f>
        <v>770.41419999999982</v>
      </c>
      <c r="I3" s="23">
        <f>SUMIFS(clean_data!$Q$2:$Q$1409,clean_data!$C$2:$C$1409,"Treatment")/COUNTIF(clean_data!$C$2:$C$1409,"Treatment")</f>
        <v>4.1958041958041958E-3</v>
      </c>
      <c r="J3" s="29">
        <f>SUMIFS(clean_data!$P$2:$P$1409,clean_data!$C$2:$C$1409,"Treatment")/COUNTIF(clean_data!$C$2:$C$1409,"Treatment")</f>
        <v>0.24755244755244754</v>
      </c>
      <c r="K3" s="25">
        <f>AVERAGEIFS(clean_data!$T$2:$T$1409,clean_data!$C$2:$C$1409,"Treatment")</f>
        <v>62.898041958041965</v>
      </c>
      <c r="L3" s="31">
        <f>AVERAGEIFS(clean_data!$R$2:$R$1409,clean_data!$C$2:$C$1409,"Treatment",clean_data!$M$2:$M$1409,1)</f>
        <v>6.4</v>
      </c>
    </row>
    <row r="4" spans="1:12" s="26" customFormat="1">
      <c r="B4" s="28" t="s">
        <v>1449</v>
      </c>
      <c r="C4" s="26" t="s">
        <v>1450</v>
      </c>
      <c r="D4" s="28" t="s">
        <v>1451</v>
      </c>
      <c r="E4" s="26" t="s">
        <v>1452</v>
      </c>
      <c r="F4" s="28" t="s">
        <v>1453</v>
      </c>
      <c r="G4" s="26" t="s">
        <v>1454</v>
      </c>
      <c r="H4" s="28" t="s">
        <v>1455</v>
      </c>
      <c r="I4" s="26" t="s">
        <v>1456</v>
      </c>
      <c r="J4" s="28" t="s">
        <v>1457</v>
      </c>
      <c r="K4" s="26" t="s">
        <v>1458</v>
      </c>
      <c r="L4" s="28" t="s">
        <v>1459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8"/>
  <sheetViews>
    <sheetView showGridLines="0" workbookViewId="0">
      <pane ySplit="1" topLeftCell="A2" activePane="bottomLeft" state="frozen"/>
      <selection pane="bottomLeft" activeCell="D7" sqref="D7"/>
    </sheetView>
  </sheetViews>
  <sheetFormatPr defaultRowHeight="15"/>
  <cols>
    <col min="1" max="1" width="16" customWidth="1"/>
    <col min="2" max="2" width="13" customWidth="1"/>
    <col min="3" max="3" width="12" customWidth="1"/>
    <col min="4" max="10" width="36" customWidth="1"/>
  </cols>
  <sheetData>
    <row r="1" spans="1:10">
      <c r="A1" s="32" t="s">
        <v>1460</v>
      </c>
    </row>
    <row r="2" spans="1:10">
      <c r="A2" s="32" t="s">
        <v>1461</v>
      </c>
      <c r="B2" s="32" t="s">
        <v>1462</v>
      </c>
      <c r="C2" s="32" t="s">
        <v>1437</v>
      </c>
      <c r="D2" s="32" t="s">
        <v>1438</v>
      </c>
      <c r="E2" s="32" t="s">
        <v>1442</v>
      </c>
      <c r="F2" s="32" t="s">
        <v>1440</v>
      </c>
      <c r="G2" s="32" t="s">
        <v>1463</v>
      </c>
      <c r="H2" s="32" t="s">
        <v>1445</v>
      </c>
      <c r="I2" s="32" t="s">
        <v>1446</v>
      </c>
      <c r="J2" s="32" t="s">
        <v>1464</v>
      </c>
    </row>
    <row r="3" spans="1:10">
      <c r="A3" s="15" t="s">
        <v>1460</v>
      </c>
      <c r="B3" s="15" t="s">
        <v>22</v>
      </c>
      <c r="C3" s="15" t="s">
        <v>21</v>
      </c>
      <c r="D3" s="15">
        <f>COUNTIFS(clean_data!$D$2:$D$1409,"North",clean_data!$C$2:$C$1409,"Control")</f>
        <v>203</v>
      </c>
      <c r="E3" s="18">
        <f>IFERROR(SUMIFS(clean_data!$M$2:$M$1409,clean_data!$D$2:$D$1409,"North",clean_data!$C$2:$C$1409,"Control")/D3,"")</f>
        <v>3.4482758620689655E-2</v>
      </c>
      <c r="F3" s="18">
        <f>IFERROR(SUMIFS(clean_data!$K$2:$K$1409,clean_data!$D$2:$D$1409,"North",clean_data!$C$2:$C$1409,"Control")/D3,"")</f>
        <v>0.20689655172413793</v>
      </c>
      <c r="G3" s="19">
        <f>IFERROR(SUMIFS(clean_data!$N$2:$N$1409,clean_data!$D$2:$D$1409,"North",clean_data!$C$2:$C$1409,"Control")/D3,"")</f>
        <v>83.667586206896559</v>
      </c>
      <c r="H3" s="18">
        <f>IFERROR(SUMIFS(clean_data!$Q$2:$Q$1409,clean_data!$D$2:$D$1409,"North",clean_data!$C$2:$C$1409,"Control")/D3,"")</f>
        <v>0</v>
      </c>
      <c r="I3" s="18">
        <f>IFERROR(SUMIFS(clean_data!$P$2:$P$1409,clean_data!$D$2:$D$1409,"North",clean_data!$C$2:$C$1409,"Control")/D3,"")</f>
        <v>0.15270935960591134</v>
      </c>
      <c r="J3" s="20">
        <f>IFERROR(AVERAGEIFS(clean_data!$T$2:$T$1409,clean_data!$D$2:$D$1409,"North",clean_data!$C$2:$C$1409,"Control"),"")</f>
        <v>57.579310344827562</v>
      </c>
    </row>
    <row r="4" spans="1:10">
      <c r="A4" s="15" t="s">
        <v>1460</v>
      </c>
      <c r="B4" s="15" t="s">
        <v>22</v>
      </c>
      <c r="C4" s="15" t="s">
        <v>727</v>
      </c>
      <c r="D4" s="15">
        <f>COUNTIFS(clean_data!$D$2:$D$1409,"North",clean_data!$C$2:$C$1409,"Treatment")</f>
        <v>180</v>
      </c>
      <c r="E4" s="18">
        <f>IFERROR(SUMIFS(clean_data!$M$2:$M$1409,clean_data!$D$2:$D$1409,"North",clean_data!$C$2:$C$1409,"Treatment")/D4,"")</f>
        <v>8.8888888888888892E-2</v>
      </c>
      <c r="F4" s="18">
        <f>IFERROR(SUMIFS(clean_data!$K$2:$K$1409,clean_data!$D$2:$D$1409,"North",clean_data!$C$2:$C$1409,"Treatment")/D4,"")</f>
        <v>0.29444444444444445</v>
      </c>
      <c r="G4" s="19">
        <f>IFERROR(SUMIFS(clean_data!$N$2:$N$1409,clean_data!$D$2:$D$1409,"North",clean_data!$C$2:$C$1409,"Treatment")/D4,"")</f>
        <v>80.967500000000001</v>
      </c>
      <c r="H4" s="18">
        <f>IFERROR(SUMIFS(clean_data!$Q$2:$Q$1409,clean_data!$D$2:$D$1409,"North",clean_data!$C$2:$C$1409,"Treatment")/D4,"")</f>
        <v>0</v>
      </c>
      <c r="I4" s="18">
        <f>IFERROR(SUMIFS(clean_data!$P$2:$P$1409,clean_data!$D$2:$D$1409,"North",clean_data!$C$2:$C$1409,"Treatment")/D4,"")</f>
        <v>0.22777777777777777</v>
      </c>
      <c r="J4" s="20">
        <f>IFERROR(AVERAGEIFS(clean_data!$T$2:$T$1409,clean_data!$D$2:$D$1409,"North",clean_data!$C$2:$C$1409,"Treatment"),"")</f>
        <v>63.081666666666628</v>
      </c>
    </row>
    <row r="5" spans="1:10">
      <c r="A5" s="15" t="s">
        <v>1460</v>
      </c>
      <c r="B5" s="15" t="s">
        <v>36</v>
      </c>
      <c r="C5" s="15" t="s">
        <v>21</v>
      </c>
      <c r="D5" s="15">
        <f>COUNTIFS(clean_data!$D$2:$D$1409,"South",clean_data!$C$2:$C$1409,"Control")</f>
        <v>184</v>
      </c>
      <c r="E5" s="18">
        <f>IFERROR(SUMIFS(clean_data!$M$2:$M$1409,clean_data!$D$2:$D$1409,"South",clean_data!$C$2:$C$1409,"Control")/D5,"")</f>
        <v>3.2608695652173912E-2</v>
      </c>
      <c r="F5" s="18">
        <f>IFERROR(SUMIFS(clean_data!$K$2:$K$1409,clean_data!$D$2:$D$1409,"South",clean_data!$C$2:$C$1409,"Control")/D5,"")</f>
        <v>0.22282608695652173</v>
      </c>
      <c r="G5" s="19">
        <f>IFERROR(SUMIFS(clean_data!$N$2:$N$1409,clean_data!$D$2:$D$1409,"South",clean_data!$C$2:$C$1409,"Control")/D5,"")</f>
        <v>76.033097826086959</v>
      </c>
      <c r="H5" s="18">
        <f>IFERROR(SUMIFS(clean_data!$Q$2:$Q$1409,clean_data!$D$2:$D$1409,"South",clean_data!$C$2:$C$1409,"Control")/D5,"")</f>
        <v>0</v>
      </c>
      <c r="I5" s="18">
        <f>IFERROR(SUMIFS(clean_data!$P$2:$P$1409,clean_data!$D$2:$D$1409,"South",clean_data!$C$2:$C$1409,"Control")/D5,"")</f>
        <v>0.14130434782608695</v>
      </c>
      <c r="J5" s="20">
        <f>IFERROR(AVERAGEIFS(clean_data!$T$2:$T$1409,clean_data!$D$2:$D$1409,"South",clean_data!$C$2:$C$1409,"Control"),"")</f>
        <v>56.953804347826065</v>
      </c>
    </row>
    <row r="6" spans="1:10">
      <c r="A6" s="15" t="s">
        <v>1460</v>
      </c>
      <c r="B6" s="15" t="s">
        <v>36</v>
      </c>
      <c r="C6" s="15" t="s">
        <v>727</v>
      </c>
      <c r="D6" s="15">
        <f>COUNTIFS(clean_data!$D$2:$D$1409,"South",clean_data!$C$2:$C$1409,"Treatment")</f>
        <v>184</v>
      </c>
      <c r="E6" s="18">
        <f>IFERROR(SUMIFS(clean_data!$M$2:$M$1409,clean_data!$D$2:$D$1409,"South",clean_data!$C$2:$C$1409,"Treatment")/D6,"")</f>
        <v>7.6086956521739135E-2</v>
      </c>
      <c r="F6" s="18">
        <f>IFERROR(SUMIFS(clean_data!$K$2:$K$1409,clean_data!$D$2:$D$1409,"South",clean_data!$C$2:$C$1409,"Treatment")/D6,"")</f>
        <v>0.33152173913043476</v>
      </c>
      <c r="G6" s="19">
        <f>IFERROR(SUMIFS(clean_data!$N$2:$N$1409,clean_data!$D$2:$D$1409,"South",clean_data!$C$2:$C$1409,"Treatment")/D6,"")</f>
        <v>47.001684782608692</v>
      </c>
      <c r="H6" s="18">
        <f>IFERROR(SUMIFS(clean_data!$Q$2:$Q$1409,clean_data!$D$2:$D$1409,"South",clean_data!$C$2:$C$1409,"Treatment")/D6,"")</f>
        <v>0</v>
      </c>
      <c r="I6" s="18">
        <f>IFERROR(SUMIFS(clean_data!$P$2:$P$1409,clean_data!$D$2:$D$1409,"South",clean_data!$C$2:$C$1409,"Treatment")/D6,"")</f>
        <v>0.22282608695652173</v>
      </c>
      <c r="J6" s="20">
        <f>IFERROR(AVERAGEIFS(clean_data!$T$2:$T$1409,clean_data!$D$2:$D$1409,"South",clean_data!$C$2:$C$1409,"Treatment"),"")</f>
        <v>62.133695652173934</v>
      </c>
    </row>
    <row r="7" spans="1:10">
      <c r="A7" s="15" t="s">
        <v>1460</v>
      </c>
      <c r="B7" s="15" t="s">
        <v>32</v>
      </c>
      <c r="C7" s="15" t="s">
        <v>21</v>
      </c>
      <c r="D7" s="15">
        <f>COUNTIFS(clean_data!$D$2:$D$1409,"East",clean_data!$C$2:$C$1409,"Control")</f>
        <v>158</v>
      </c>
      <c r="E7" s="18">
        <f>IFERROR(SUMIFS(clean_data!$M$2:$M$1409,clean_data!$D$2:$D$1409,"East",clean_data!$C$2:$C$1409,"Control")/D7,"")</f>
        <v>2.5316455696202531E-2</v>
      </c>
      <c r="F7" s="18">
        <f>IFERROR(SUMIFS(clean_data!$K$2:$K$1409,clean_data!$D$2:$D$1409,"East",clean_data!$C$2:$C$1409,"Control")/D7,"")</f>
        <v>0.29746835443037972</v>
      </c>
      <c r="G7" s="19">
        <f>IFERROR(SUMIFS(clean_data!$N$2:$N$1409,clean_data!$D$2:$D$1409,"East",clean_data!$C$2:$C$1409,"Control")/D7,"")</f>
        <v>18.11607594936709</v>
      </c>
      <c r="H7" s="18">
        <f>IFERROR(SUMIFS(clean_data!$Q$2:$Q$1409,clean_data!$D$2:$D$1409,"East",clean_data!$C$2:$C$1409,"Control")/D7,"")</f>
        <v>0</v>
      </c>
      <c r="I7" s="18">
        <f>IFERROR(SUMIFS(clean_data!$P$2:$P$1409,clean_data!$D$2:$D$1409,"East",clean_data!$C$2:$C$1409,"Control")/D7,"")</f>
        <v>0.13924050632911392</v>
      </c>
      <c r="J7" s="20">
        <f>IFERROR(AVERAGEIFS(clean_data!$T$2:$T$1409,clean_data!$D$2:$D$1409,"East",clean_data!$C$2:$C$1409,"Control"),"")</f>
        <v>56.628481012658234</v>
      </c>
    </row>
    <row r="8" spans="1:10">
      <c r="A8" s="15" t="s">
        <v>1460</v>
      </c>
      <c r="B8" s="15" t="s">
        <v>32</v>
      </c>
      <c r="C8" s="15" t="s">
        <v>727</v>
      </c>
      <c r="D8" s="15">
        <f>COUNTIFS(clean_data!$D$2:$D$1409,"East",clean_data!$C$2:$C$1409,"Treatment")</f>
        <v>172</v>
      </c>
      <c r="E8" s="18">
        <f>IFERROR(SUMIFS(clean_data!$M$2:$M$1409,clean_data!$D$2:$D$1409,"East",clean_data!$C$2:$C$1409,"Treatment")/D8,"")</f>
        <v>6.3953488372093026E-2</v>
      </c>
      <c r="F8" s="18">
        <f>IFERROR(SUMIFS(clean_data!$K$2:$K$1409,clean_data!$D$2:$D$1409,"East",clean_data!$C$2:$C$1409,"Treatment")/D8,"")</f>
        <v>0.29651162790697677</v>
      </c>
      <c r="G8" s="19">
        <f>IFERROR(SUMIFS(clean_data!$N$2:$N$1409,clean_data!$D$2:$D$1409,"East",clean_data!$C$2:$C$1409,"Treatment")/D8,"")</f>
        <v>46.504651162790701</v>
      </c>
      <c r="H8" s="18">
        <f>IFERROR(SUMIFS(clean_data!$Q$2:$Q$1409,clean_data!$D$2:$D$1409,"East",clean_data!$C$2:$C$1409,"Treatment")/D8,"")</f>
        <v>5.8139534883720929E-3</v>
      </c>
      <c r="I8" s="18">
        <f>IFERROR(SUMIFS(clean_data!$P$2:$P$1409,clean_data!$D$2:$D$1409,"East",clean_data!$C$2:$C$1409,"Treatment")/D8,"")</f>
        <v>0.26744186046511625</v>
      </c>
      <c r="J8" s="20">
        <f>IFERROR(AVERAGEIFS(clean_data!$T$2:$T$1409,clean_data!$D$2:$D$1409,"East",clean_data!$C$2:$C$1409,"Treatment"),"")</f>
        <v>63.168604651162809</v>
      </c>
    </row>
    <row r="9" spans="1:10">
      <c r="A9" s="15" t="s">
        <v>1460</v>
      </c>
      <c r="B9" s="15" t="s">
        <v>27</v>
      </c>
      <c r="C9" s="15" t="s">
        <v>21</v>
      </c>
      <c r="D9" s="15">
        <f>COUNTIFS(clean_data!$D$2:$D$1409,"West",clean_data!$C$2:$C$1409,"Control")</f>
        <v>148</v>
      </c>
      <c r="E9" s="18">
        <f>IFERROR(SUMIFS(clean_data!$M$2:$M$1409,clean_data!$D$2:$D$1409,"West",clean_data!$C$2:$C$1409,"Control")/D9,"")</f>
        <v>3.3783783783783786E-2</v>
      </c>
      <c r="F9" s="18">
        <f>IFERROR(SUMIFS(clean_data!$K$2:$K$1409,clean_data!$D$2:$D$1409,"West",clean_data!$C$2:$C$1409,"Control")/D9,"")</f>
        <v>0.29729729729729731</v>
      </c>
      <c r="G9" s="19">
        <f>IFERROR(SUMIFS(clean_data!$N$2:$N$1409,clean_data!$D$2:$D$1409,"West",clean_data!$C$2:$C$1409,"Control")/D9,"")</f>
        <v>13.684662162162162</v>
      </c>
      <c r="H9" s="18">
        <f>IFERROR(SUMIFS(clean_data!$Q$2:$Q$1409,clean_data!$D$2:$D$1409,"West",clean_data!$C$2:$C$1409,"Control")/D9,"")</f>
        <v>0</v>
      </c>
      <c r="I9" s="18">
        <f>IFERROR(SUMIFS(clean_data!$P$2:$P$1409,clean_data!$D$2:$D$1409,"West",clean_data!$C$2:$C$1409,"Control")/D9,"")</f>
        <v>0.1554054054054054</v>
      </c>
      <c r="J9" s="20">
        <f>IFERROR(AVERAGEIFS(clean_data!$T$2:$T$1409,clean_data!$D$2:$D$1409,"West",clean_data!$C$2:$C$1409,"Control"),"")</f>
        <v>56.898648648648638</v>
      </c>
    </row>
    <row r="10" spans="1:10">
      <c r="A10" s="15" t="s">
        <v>1460</v>
      </c>
      <c r="B10" s="15" t="s">
        <v>27</v>
      </c>
      <c r="C10" s="15" t="s">
        <v>727</v>
      </c>
      <c r="D10" s="15">
        <f>COUNTIFS(clean_data!$D$2:$D$1409,"West",clean_data!$C$2:$C$1409,"Treatment")</f>
        <v>179</v>
      </c>
      <c r="E10" s="18">
        <f>IFERROR(SUMIFS(clean_data!$M$2:$M$1409,clean_data!$D$2:$D$1409,"West",clean_data!$C$2:$C$1409,"Treatment")/D10,"")</f>
        <v>5.027932960893855E-2</v>
      </c>
      <c r="F10" s="18">
        <f>IFERROR(SUMIFS(clean_data!$K$2:$K$1409,clean_data!$D$2:$D$1409,"West",clean_data!$C$2:$C$1409,"Treatment")/D10,"")</f>
        <v>0.24022346368715083</v>
      </c>
      <c r="G10" s="19">
        <f>IFERROR(SUMIFS(clean_data!$N$2:$N$1409,clean_data!$D$2:$D$1409,"West",clean_data!$C$2:$C$1409,"Treatment")/D10,"")</f>
        <v>40.77905027932961</v>
      </c>
      <c r="H10" s="18">
        <f>IFERROR(SUMIFS(clean_data!$Q$2:$Q$1409,clean_data!$D$2:$D$1409,"West",clean_data!$C$2:$C$1409,"Treatment")/D10,"")</f>
        <v>1.11731843575419E-2</v>
      </c>
      <c r="I10" s="18">
        <f>IFERROR(SUMIFS(clean_data!$P$2:$P$1409,clean_data!$D$2:$D$1409,"West",clean_data!$C$2:$C$1409,"Treatment")/D10,"")</f>
        <v>0.27374301675977653</v>
      </c>
      <c r="J10" s="20">
        <f>IFERROR(AVERAGEIFS(clean_data!$T$2:$T$1409,clean_data!$D$2:$D$1409,"West",clean_data!$C$2:$C$1409,"Treatment"),"")</f>
        <v>63.239106145251412</v>
      </c>
    </row>
    <row r="13" spans="1:10">
      <c r="A13" s="32" t="s">
        <v>1465</v>
      </c>
    </row>
    <row r="14" spans="1:10">
      <c r="A14" s="32" t="s">
        <v>1461</v>
      </c>
      <c r="B14" s="32" t="s">
        <v>1462</v>
      </c>
      <c r="C14" s="32" t="s">
        <v>1437</v>
      </c>
      <c r="D14" s="32" t="s">
        <v>1438</v>
      </c>
      <c r="E14" s="32" t="s">
        <v>1442</v>
      </c>
      <c r="F14" s="32" t="s">
        <v>1440</v>
      </c>
      <c r="G14" s="32" t="s">
        <v>1463</v>
      </c>
      <c r="H14" s="32" t="s">
        <v>1445</v>
      </c>
      <c r="I14" s="32" t="s">
        <v>1446</v>
      </c>
      <c r="J14" s="32" t="s">
        <v>1464</v>
      </c>
    </row>
    <row r="15" spans="1:10">
      <c r="A15" s="15" t="s">
        <v>1465</v>
      </c>
      <c r="B15" s="15" t="s">
        <v>23</v>
      </c>
      <c r="C15" s="15" t="s">
        <v>21</v>
      </c>
      <c r="D15" s="15">
        <f>COUNTIFS(clean_data!$F$2:$F$1409,"Desktop",clean_data!$C$2:$C$1409,"Control")</f>
        <v>200</v>
      </c>
      <c r="E15" s="18">
        <f>IFERROR(SUMIFS(clean_data!$M$2:$M$1409,clean_data!$F$2:$F$1409,"Desktop",clean_data!$C$2:$C$1409,"Control")/D15,"")</f>
        <v>4.4999999999999998E-2</v>
      </c>
      <c r="F15" s="18">
        <f>IFERROR(SUMIFS(clean_data!$K$2:$K$1409,clean_data!$F$2:$F$1409,"Desktop",clean_data!$C$2:$C$1409,"Control")/D15,"")</f>
        <v>0.25</v>
      </c>
      <c r="G15" s="19">
        <f>IFERROR(SUMIFS(clean_data!$N$2:$N$1409,clean_data!$F$2:$F$1409,"Desktop",clean_data!$C$2:$C$1409,"Control")/D15,"")</f>
        <v>84.942949999999996</v>
      </c>
      <c r="H15" s="18">
        <f>IFERROR(SUMIFS(clean_data!$Q$2:$Q$1409,clean_data!$F$2:$F$1409,"Desktop",clean_data!$C$2:$C$1409,"Control")/D15,"")</f>
        <v>0</v>
      </c>
      <c r="I15" s="18">
        <f>IFERROR(SUMIFS(clean_data!$P$2:$P$1409,clean_data!$F$2:$F$1409,"Desktop",clean_data!$C$2:$C$1409,"Control")/D15,"")</f>
        <v>0.15</v>
      </c>
      <c r="J15" s="20">
        <f>IFERROR(AVERAGEIFS(clean_data!$T$2:$T$1409,clean_data!$F$2:$F$1409,"Desktop",clean_data!$C$2:$C$1409,"Control"),"")</f>
        <v>57.226000000000006</v>
      </c>
    </row>
    <row r="16" spans="1:10">
      <c r="A16" s="15" t="s">
        <v>1465</v>
      </c>
      <c r="B16" s="15" t="s">
        <v>23</v>
      </c>
      <c r="C16" s="15" t="s">
        <v>727</v>
      </c>
      <c r="D16" s="15">
        <f>COUNTIFS(clean_data!$F$2:$F$1409,"Desktop",clean_data!$C$2:$C$1409,"Treatment")</f>
        <v>214</v>
      </c>
      <c r="E16" s="18">
        <f>IFERROR(SUMIFS(clean_data!$M$2:$M$1409,clean_data!$F$2:$F$1409,"Desktop",clean_data!$C$2:$C$1409,"Treatment")/D16,"")</f>
        <v>6.5420560747663545E-2</v>
      </c>
      <c r="F16" s="18">
        <f>IFERROR(SUMIFS(clean_data!$K$2:$K$1409,clean_data!$F$2:$F$1409,"Desktop",clean_data!$C$2:$C$1409,"Treatment")/D16,"")</f>
        <v>0.27102803738317754</v>
      </c>
      <c r="G16" s="19">
        <f>IFERROR(SUMIFS(clean_data!$N$2:$N$1409,clean_data!$F$2:$F$1409,"Desktop",clean_data!$C$2:$C$1409,"Treatment")/D16,"")</f>
        <v>40.958130841121502</v>
      </c>
      <c r="H16" s="18">
        <f>IFERROR(SUMIFS(clean_data!$Q$2:$Q$1409,clean_data!$F$2:$F$1409,"Desktop",clean_data!$C$2:$C$1409,"Treatment")/D16,"")</f>
        <v>0</v>
      </c>
      <c r="I16" s="18">
        <f>IFERROR(SUMIFS(clean_data!$P$2:$P$1409,clean_data!$F$2:$F$1409,"Desktop",clean_data!$C$2:$C$1409,"Treatment")/D16,"")</f>
        <v>0.23831775700934579</v>
      </c>
      <c r="J16" s="20">
        <f>IFERROR(AVERAGEIFS(clean_data!$T$2:$T$1409,clean_data!$F$2:$F$1409,"Desktop",clean_data!$C$2:$C$1409,"Treatment"),"")</f>
        <v>63.214018691588798</v>
      </c>
    </row>
    <row r="17" spans="1:10">
      <c r="A17" s="15" t="s">
        <v>1465</v>
      </c>
      <c r="B17" s="15" t="s">
        <v>28</v>
      </c>
      <c r="C17" s="15" t="s">
        <v>21</v>
      </c>
      <c r="D17" s="15">
        <f>COUNTIFS(clean_data!$F$2:$F$1409,"Mobile",clean_data!$C$2:$C$1409,"Control")</f>
        <v>428</v>
      </c>
      <c r="E17" s="18">
        <f>IFERROR(SUMIFS(clean_data!$M$2:$M$1409,clean_data!$F$2:$F$1409,"Mobile",clean_data!$C$2:$C$1409,"Control")/D17,"")</f>
        <v>2.5700934579439252E-2</v>
      </c>
      <c r="F17" s="18">
        <f>IFERROR(SUMIFS(clean_data!$K$2:$K$1409,clean_data!$F$2:$F$1409,"Mobile",clean_data!$C$2:$C$1409,"Control")/D17,"")</f>
        <v>0.24532710280373832</v>
      </c>
      <c r="G17" s="19">
        <f>IFERROR(SUMIFS(clean_data!$N$2:$N$1409,clean_data!$F$2:$F$1409,"Mobile",clean_data!$C$2:$C$1409,"Control")/D17,"")</f>
        <v>41.84796728971962</v>
      </c>
      <c r="H17" s="18">
        <f>IFERROR(SUMIFS(clean_data!$Q$2:$Q$1409,clean_data!$F$2:$F$1409,"Mobile",clean_data!$C$2:$C$1409,"Control")/D17,"")</f>
        <v>0</v>
      </c>
      <c r="I17" s="18">
        <f>IFERROR(SUMIFS(clean_data!$P$2:$P$1409,clean_data!$F$2:$F$1409,"Mobile",clean_data!$C$2:$C$1409,"Control")/D17,"")</f>
        <v>0.15186915887850466</v>
      </c>
      <c r="J17" s="20">
        <f>IFERROR(AVERAGEIFS(clean_data!$T$2:$T$1409,clean_data!$F$2:$F$1409,"Mobile",clean_data!$C$2:$C$1409,"Control"),"")</f>
        <v>57.371728971962582</v>
      </c>
    </row>
    <row r="18" spans="1:10">
      <c r="A18" s="15" t="s">
        <v>1465</v>
      </c>
      <c r="B18" s="15" t="s">
        <v>28</v>
      </c>
      <c r="C18" s="15" t="s">
        <v>727</v>
      </c>
      <c r="D18" s="15">
        <f>COUNTIFS(clean_data!$F$2:$F$1409,"Mobile",clean_data!$C$2:$C$1409,"Treatment")</f>
        <v>436</v>
      </c>
      <c r="E18" s="18">
        <f>IFERROR(SUMIFS(clean_data!$M$2:$M$1409,clean_data!$F$2:$F$1409,"Mobile",clean_data!$C$2:$C$1409,"Treatment")/D18,"")</f>
        <v>7.3394495412844041E-2</v>
      </c>
      <c r="F18" s="18">
        <f>IFERROR(SUMIFS(clean_data!$K$2:$K$1409,clean_data!$F$2:$F$1409,"Mobile",clean_data!$C$2:$C$1409,"Treatment")/D18,"")</f>
        <v>0.30963302752293576</v>
      </c>
      <c r="G18" s="19">
        <f>IFERROR(SUMIFS(clean_data!$N$2:$N$1409,clean_data!$F$2:$F$1409,"Mobile",clean_data!$C$2:$C$1409,"Treatment")/D18,"")</f>
        <v>58.828348623853209</v>
      </c>
      <c r="H18" s="18">
        <f>IFERROR(SUMIFS(clean_data!$Q$2:$Q$1409,clean_data!$F$2:$F$1409,"Mobile",clean_data!$C$2:$C$1409,"Treatment")/D18,"")</f>
        <v>6.8807339449541288E-3</v>
      </c>
      <c r="I18" s="18">
        <f>IFERROR(SUMIFS(clean_data!$P$2:$P$1409,clean_data!$F$2:$F$1409,"Mobile",clean_data!$C$2:$C$1409,"Treatment")/D18,"")</f>
        <v>0.25229357798165136</v>
      </c>
      <c r="J18" s="20">
        <f>IFERROR(AVERAGEIFS(clean_data!$T$2:$T$1409,clean_data!$F$2:$F$1409,"Mobile",clean_data!$C$2:$C$1409,"Treatment"),"")</f>
        <v>62.744036697247758</v>
      </c>
    </row>
    <row r="19" spans="1:10">
      <c r="A19" s="15" t="s">
        <v>1465</v>
      </c>
      <c r="B19" s="15" t="s">
        <v>38</v>
      </c>
      <c r="C19" s="15" t="s">
        <v>21</v>
      </c>
      <c r="D19" s="15">
        <f>COUNTIFS(clean_data!$F$2:$F$1409,"Tablet",clean_data!$C$2:$C$1409,"Control")</f>
        <v>56</v>
      </c>
      <c r="E19" s="18">
        <f>IFERROR(SUMIFS(clean_data!$M$2:$M$1409,clean_data!$F$2:$F$1409,"Tablet",clean_data!$C$2:$C$1409,"Control")/D19,"")</f>
        <v>1.7857142857142856E-2</v>
      </c>
      <c r="F19" s="18">
        <f>IFERROR(SUMIFS(clean_data!$K$2:$K$1409,clean_data!$F$2:$F$1409,"Tablet",clean_data!$C$2:$C$1409,"Control")/D19,"")</f>
        <v>0.23214285714285715</v>
      </c>
      <c r="G19" s="19">
        <f>IFERROR(SUMIFS(clean_data!$N$2:$N$1409,clean_data!$F$2:$F$1409,"Tablet",clean_data!$C$2:$C$1409,"Control")/D19,"")</f>
        <v>7.3105357142857139</v>
      </c>
      <c r="H19" s="18">
        <f>IFERROR(SUMIFS(clean_data!$Q$2:$Q$1409,clean_data!$F$2:$F$1409,"Tablet",clean_data!$C$2:$C$1409,"Control")/D19,"")</f>
        <v>0</v>
      </c>
      <c r="I19" s="18">
        <f>IFERROR(SUMIFS(clean_data!$P$2:$P$1409,clean_data!$F$2:$F$1409,"Tablet",clean_data!$C$2:$C$1409,"Control")/D19,"")</f>
        <v>0.10714285714285714</v>
      </c>
      <c r="J19" s="20">
        <f>IFERROR(AVERAGEIFS(clean_data!$T$2:$T$1409,clean_data!$F$2:$F$1409,"Tablet",clean_data!$C$2:$C$1409,"Control"),"")</f>
        <v>55.832142857142863</v>
      </c>
    </row>
    <row r="20" spans="1:10">
      <c r="A20" s="15" t="s">
        <v>1465</v>
      </c>
      <c r="B20" s="15" t="s">
        <v>38</v>
      </c>
      <c r="C20" s="15" t="s">
        <v>727</v>
      </c>
      <c r="D20" s="15">
        <f>COUNTIFS(clean_data!$F$2:$F$1409,"Tablet",clean_data!$C$2:$C$1409,"Treatment")</f>
        <v>56</v>
      </c>
      <c r="E20" s="18">
        <f>IFERROR(SUMIFS(clean_data!$M$2:$M$1409,clean_data!$F$2:$F$1409,"Tablet",clean_data!$C$2:$C$1409,"Treatment")/D20,"")</f>
        <v>7.1428571428571425E-2</v>
      </c>
      <c r="F20" s="18">
        <f>IFERROR(SUMIFS(clean_data!$K$2:$K$1409,clean_data!$F$2:$F$1409,"Tablet",clean_data!$C$2:$C$1409,"Treatment")/D20,"")</f>
        <v>0.25</v>
      </c>
      <c r="G20" s="19">
        <f>IFERROR(SUMIFS(clean_data!$N$2:$N$1409,clean_data!$F$2:$F$1409,"Tablet",clean_data!$C$2:$C$1409,"Treatment")/D20,"")</f>
        <v>73.330535714285716</v>
      </c>
      <c r="H20" s="18">
        <f>IFERROR(SUMIFS(clean_data!$Q$2:$Q$1409,clean_data!$F$2:$F$1409,"Tablet",clean_data!$C$2:$C$1409,"Treatment")/D20,"")</f>
        <v>0</v>
      </c>
      <c r="I20" s="18">
        <f>IFERROR(SUMIFS(clean_data!$P$2:$P$1409,clean_data!$F$2:$F$1409,"Tablet",clean_data!$C$2:$C$1409,"Treatment")/D20,"")</f>
        <v>0.21428571428571427</v>
      </c>
      <c r="J20" s="20">
        <f>IFERROR(AVERAGEIFS(clean_data!$T$2:$T$1409,clean_data!$F$2:$F$1409,"Tablet",clean_data!$C$2:$C$1409,"Treatment"),"")</f>
        <v>63.007142857142846</v>
      </c>
    </row>
    <row r="21" spans="1:10">
      <c r="A21" s="15" t="s">
        <v>1465</v>
      </c>
      <c r="B21" s="15" t="s">
        <v>1466</v>
      </c>
      <c r="C21" s="15" t="s">
        <v>21</v>
      </c>
      <c r="D21" s="15">
        <f>COUNTIFS(clean_data!$F$2:$F$1409,"Unknown",clean_data!$C$2:$C$1409,"Control")</f>
        <v>9</v>
      </c>
      <c r="E21" s="18">
        <f>IFERROR(SUMIFS(clean_data!$M$2:$M$1409,clean_data!$F$2:$F$1409,"Unknown",clean_data!$C$2:$C$1409,"Control")/D21,"")</f>
        <v>0.1111111111111111</v>
      </c>
      <c r="F21" s="18">
        <f>IFERROR(SUMIFS(clean_data!$K$2:$K$1409,clean_data!$F$2:$F$1409,"Unknown",clean_data!$C$2:$C$1409,"Control")/D21,"")</f>
        <v>0.66666666666666663</v>
      </c>
      <c r="G21" s="19">
        <f>IFERROR(SUMIFS(clean_data!$N$2:$N$1409,clean_data!$F$2:$F$1409,"Unknown",clean_data!$C$2:$C$1409,"Control")/D21,"")</f>
        <v>61.485555555555557</v>
      </c>
      <c r="H21" s="18">
        <f>IFERROR(SUMIFS(clean_data!$Q$2:$Q$1409,clean_data!$F$2:$F$1409,"Unknown",clean_data!$C$2:$C$1409,"Control")/D21,"")</f>
        <v>0</v>
      </c>
      <c r="I21" s="18">
        <f>IFERROR(SUMIFS(clean_data!$P$2:$P$1409,clean_data!$F$2:$F$1409,"Unknown",clean_data!$C$2:$C$1409,"Control")/D21,"")</f>
        <v>0.1111111111111111</v>
      </c>
      <c r="J21" s="20">
        <f>IFERROR(AVERAGEIFS(clean_data!$T$2:$T$1409,clean_data!$F$2:$F$1409,"Unknown",clean_data!$C$2:$C$1409,"Control"),"")</f>
        <v>45.500000000000007</v>
      </c>
    </row>
    <row r="22" spans="1:10">
      <c r="A22" s="15" t="s">
        <v>1465</v>
      </c>
      <c r="B22" s="15" t="s">
        <v>1466</v>
      </c>
      <c r="C22" s="15" t="s">
        <v>727</v>
      </c>
      <c r="D22" s="15">
        <f>COUNTIFS(clean_data!$F$2:$F$1409,"Unknown",clean_data!$C$2:$C$1409,"Treatment")</f>
        <v>9</v>
      </c>
      <c r="E22" s="18">
        <f>IFERROR(SUMIFS(clean_data!$M$2:$M$1409,clean_data!$F$2:$F$1409,"Unknown",clean_data!$C$2:$C$1409,"Treatment")/D22,"")</f>
        <v>0</v>
      </c>
      <c r="F22" s="18">
        <f>IFERROR(SUMIFS(clean_data!$K$2:$K$1409,clean_data!$F$2:$F$1409,"Unknown",clean_data!$C$2:$C$1409,"Treatment")/D22,"")</f>
        <v>0.1111111111111111</v>
      </c>
      <c r="G22" s="19">
        <f>IFERROR(SUMIFS(clean_data!$N$2:$N$1409,clean_data!$F$2:$F$1409,"Unknown",clean_data!$C$2:$C$1409,"Treatment")/D22,"")</f>
        <v>0</v>
      </c>
      <c r="H22" s="18">
        <f>IFERROR(SUMIFS(clean_data!$Q$2:$Q$1409,clean_data!$F$2:$F$1409,"Unknown",clean_data!$C$2:$C$1409,"Treatment")/D22,"")</f>
        <v>0</v>
      </c>
      <c r="I22" s="18">
        <f>IFERROR(SUMIFS(clean_data!$P$2:$P$1409,clean_data!$F$2:$F$1409,"Unknown",clean_data!$C$2:$C$1409,"Treatment")/D22,"")</f>
        <v>0.44444444444444442</v>
      </c>
      <c r="J22" s="20">
        <f>IFERROR(AVERAGEIFS(clean_data!$T$2:$T$1409,clean_data!$F$2:$F$1409,"Unknown",clean_data!$C$2:$C$1409,"Treatment"),"")</f>
        <v>62.166666666666664</v>
      </c>
    </row>
    <row r="25" spans="1:10">
      <c r="A25" s="32" t="s">
        <v>1467</v>
      </c>
    </row>
    <row r="26" spans="1:10">
      <c r="A26" s="32" t="s">
        <v>1461</v>
      </c>
      <c r="B26" s="32" t="s">
        <v>1462</v>
      </c>
      <c r="C26" s="32" t="s">
        <v>1437</v>
      </c>
      <c r="D26" s="32" t="s">
        <v>1438</v>
      </c>
      <c r="E26" s="32" t="s">
        <v>1442</v>
      </c>
      <c r="F26" s="32" t="s">
        <v>1440</v>
      </c>
      <c r="G26" s="32" t="s">
        <v>1463</v>
      </c>
      <c r="H26" s="32" t="s">
        <v>1445</v>
      </c>
      <c r="I26" s="32" t="s">
        <v>1446</v>
      </c>
      <c r="J26" s="32" t="s">
        <v>1464</v>
      </c>
    </row>
    <row r="27" spans="1:10">
      <c r="A27" s="15" t="s">
        <v>1467</v>
      </c>
      <c r="B27" s="15" t="s">
        <v>24</v>
      </c>
      <c r="C27" s="15" t="s">
        <v>21</v>
      </c>
      <c r="D27" s="15">
        <f>COUNTIFS(clean_data!$H$2:$H$1409,"Email",clean_data!$C$2:$C$1409,"Control")</f>
        <v>74</v>
      </c>
      <c r="E27" s="18">
        <f>IFERROR(SUMIFS(clean_data!$M$2:$M$1409,clean_data!$H$2:$H$1409,"Email",clean_data!$C$2:$C$1409,"Control")/D27,"")</f>
        <v>2.7027027027027029E-2</v>
      </c>
      <c r="F27" s="18">
        <f>IFERROR(SUMIFS(clean_data!$K$2:$K$1409,clean_data!$H$2:$H$1409,"Email",clean_data!$C$2:$C$1409,"Control")/D27,"")</f>
        <v>0.24324324324324326</v>
      </c>
      <c r="G27" s="19">
        <f>IFERROR(SUMIFS(clean_data!$N$2:$N$1409,clean_data!$H$2:$H$1409,"Email",clean_data!$C$2:$C$1409,"Control")/D27,"")</f>
        <v>28.720675675675675</v>
      </c>
      <c r="H27" s="18">
        <f>IFERROR(SUMIFS(clean_data!$Q$2:$Q$1409,clean_data!$H$2:$H$1409,"Email",clean_data!$C$2:$C$1409,"Control")/D27,"")</f>
        <v>0</v>
      </c>
      <c r="I27" s="18">
        <f>IFERROR(SUMIFS(clean_data!$P$2:$P$1409,clean_data!$H$2:$H$1409,"Email",clean_data!$C$2:$C$1409,"Control")/D27,"")</f>
        <v>0.16216216216216217</v>
      </c>
      <c r="J27" s="20">
        <f>IFERROR(AVERAGEIFS(clean_data!$T$2:$T$1409,clean_data!$H$2:$H$1409,"Email",clean_data!$C$2:$C$1409,"Control"),"")</f>
        <v>57.828378378378368</v>
      </c>
    </row>
    <row r="28" spans="1:10">
      <c r="A28" s="15" t="s">
        <v>1467</v>
      </c>
      <c r="B28" s="15" t="s">
        <v>24</v>
      </c>
      <c r="C28" s="15" t="s">
        <v>727</v>
      </c>
      <c r="D28" s="15">
        <f>COUNTIFS(clean_data!$H$2:$H$1409,"Email",clean_data!$C$2:$C$1409,"Treatment")</f>
        <v>56</v>
      </c>
      <c r="E28" s="18">
        <f>IFERROR(SUMIFS(clean_data!$M$2:$M$1409,clean_data!$H$2:$H$1409,"Email",clean_data!$C$2:$C$1409,"Treatment")/D28,"")</f>
        <v>7.1428571428571425E-2</v>
      </c>
      <c r="F28" s="18">
        <f>IFERROR(SUMIFS(clean_data!$K$2:$K$1409,clean_data!$H$2:$H$1409,"Email",clean_data!$C$2:$C$1409,"Treatment")/D28,"")</f>
        <v>0.35714285714285715</v>
      </c>
      <c r="G28" s="19">
        <f>IFERROR(SUMIFS(clean_data!$N$2:$N$1409,clean_data!$H$2:$H$1409,"Email",clean_data!$C$2:$C$1409,"Treatment")/D28,"")</f>
        <v>44.980892857142855</v>
      </c>
      <c r="H28" s="18">
        <f>IFERROR(SUMIFS(clean_data!$Q$2:$Q$1409,clean_data!$H$2:$H$1409,"Email",clean_data!$C$2:$C$1409,"Treatment")/D28,"")</f>
        <v>0</v>
      </c>
      <c r="I28" s="18">
        <f>IFERROR(SUMIFS(clean_data!$P$2:$P$1409,clean_data!$H$2:$H$1409,"Email",clean_data!$C$2:$C$1409,"Treatment")/D28,"")</f>
        <v>0.3392857142857143</v>
      </c>
      <c r="J28" s="20">
        <f>IFERROR(AVERAGEIFS(clean_data!$T$2:$T$1409,clean_data!$H$2:$H$1409,"Email",clean_data!$C$2:$C$1409,"Treatment"),"")</f>
        <v>62.241071428571438</v>
      </c>
    </row>
    <row r="29" spans="1:10">
      <c r="A29" s="15" t="s">
        <v>1467</v>
      </c>
      <c r="B29" s="15" t="s">
        <v>29</v>
      </c>
      <c r="C29" s="15" t="s">
        <v>21</v>
      </c>
      <c r="D29" s="15">
        <f>COUNTIFS(clean_data!$H$2:$H$1409,"Organic",clean_data!$C$2:$C$1409,"Control")</f>
        <v>246</v>
      </c>
      <c r="E29" s="18">
        <f>IFERROR(SUMIFS(clean_data!$M$2:$M$1409,clean_data!$H$2:$H$1409,"Organic",clean_data!$C$2:$C$1409,"Control")/D29,"")</f>
        <v>2.032520325203252E-2</v>
      </c>
      <c r="F29" s="18">
        <f>IFERROR(SUMIFS(clean_data!$K$2:$K$1409,clean_data!$H$2:$H$1409,"Organic",clean_data!$C$2:$C$1409,"Control")/D29,"")</f>
        <v>0.21138211382113822</v>
      </c>
      <c r="G29" s="19">
        <f>IFERROR(SUMIFS(clean_data!$N$2:$N$1409,clean_data!$H$2:$H$1409,"Organic",clean_data!$C$2:$C$1409,"Control")/D29,"")</f>
        <v>42.512601626016256</v>
      </c>
      <c r="H29" s="18">
        <f>IFERROR(SUMIFS(clean_data!$Q$2:$Q$1409,clean_data!$H$2:$H$1409,"Organic",clean_data!$C$2:$C$1409,"Control")/D29,"")</f>
        <v>0</v>
      </c>
      <c r="I29" s="18">
        <f>IFERROR(SUMIFS(clean_data!$P$2:$P$1409,clean_data!$H$2:$H$1409,"Organic",clean_data!$C$2:$C$1409,"Control")/D29,"")</f>
        <v>0.12195121951219512</v>
      </c>
      <c r="J29" s="20">
        <f>IFERROR(AVERAGEIFS(clean_data!$T$2:$T$1409,clean_data!$H$2:$H$1409,"Organic",clean_data!$C$2:$C$1409,"Control"),"")</f>
        <v>58.457317073170721</v>
      </c>
    </row>
    <row r="30" spans="1:10">
      <c r="A30" s="15" t="s">
        <v>1467</v>
      </c>
      <c r="B30" s="15" t="s">
        <v>29</v>
      </c>
      <c r="C30" s="15" t="s">
        <v>727</v>
      </c>
      <c r="D30" s="15">
        <f>COUNTIFS(clean_data!$H$2:$H$1409,"Organic",clean_data!$C$2:$C$1409,"Treatment")</f>
        <v>241</v>
      </c>
      <c r="E30" s="18">
        <f>IFERROR(SUMIFS(clean_data!$M$2:$M$1409,clean_data!$H$2:$H$1409,"Organic",clean_data!$C$2:$C$1409,"Treatment")/D30,"")</f>
        <v>6.2240663900414939E-2</v>
      </c>
      <c r="F30" s="18">
        <f>IFERROR(SUMIFS(clean_data!$K$2:$K$1409,clean_data!$H$2:$H$1409,"Organic",clean_data!$C$2:$C$1409,"Treatment")/D30,"")</f>
        <v>0.26556016597510373</v>
      </c>
      <c r="G30" s="19">
        <f>IFERROR(SUMIFS(clean_data!$N$2:$N$1409,clean_data!$H$2:$H$1409,"Organic",clean_data!$C$2:$C$1409,"Treatment")/D30,"")</f>
        <v>50.706390041493769</v>
      </c>
      <c r="H30" s="18">
        <f>IFERROR(SUMIFS(clean_data!$Q$2:$Q$1409,clean_data!$H$2:$H$1409,"Organic",clean_data!$C$2:$C$1409,"Treatment")/D30,"")</f>
        <v>0</v>
      </c>
      <c r="I30" s="18">
        <f>IFERROR(SUMIFS(clean_data!$P$2:$P$1409,clean_data!$H$2:$H$1409,"Organic",clean_data!$C$2:$C$1409,"Treatment")/D30,"")</f>
        <v>0.22821576763485477</v>
      </c>
      <c r="J30" s="20">
        <f>IFERROR(AVERAGEIFS(clean_data!$T$2:$T$1409,clean_data!$H$2:$H$1409,"Organic",clean_data!$C$2:$C$1409,"Treatment"),"")</f>
        <v>61.51410788381741</v>
      </c>
    </row>
    <row r="31" spans="1:10">
      <c r="A31" s="15" t="s">
        <v>1467</v>
      </c>
      <c r="B31" s="15" t="s">
        <v>33</v>
      </c>
      <c r="C31" s="15" t="s">
        <v>21</v>
      </c>
      <c r="D31" s="15">
        <f>COUNTIFS(clean_data!$H$2:$H$1409,"Paid Search",clean_data!$C$2:$C$1409,"Control")</f>
        <v>156</v>
      </c>
      <c r="E31" s="18">
        <f>IFERROR(SUMIFS(clean_data!$M$2:$M$1409,clean_data!$H$2:$H$1409,"Paid Search",clean_data!$C$2:$C$1409,"Control")/D31,"")</f>
        <v>1.282051282051282E-2</v>
      </c>
      <c r="F31" s="18">
        <f>IFERROR(SUMIFS(clean_data!$K$2:$K$1409,clean_data!$H$2:$H$1409,"Paid Search",clean_data!$C$2:$C$1409,"Control")/D31,"")</f>
        <v>0.25641025641025639</v>
      </c>
      <c r="G31" s="19">
        <f>IFERROR(SUMIFS(clean_data!$N$2:$N$1409,clean_data!$H$2:$H$1409,"Paid Search",clean_data!$C$2:$C$1409,"Control")/D31,"")</f>
        <v>10.837435897435897</v>
      </c>
      <c r="H31" s="18">
        <f>IFERROR(SUMIFS(clean_data!$Q$2:$Q$1409,clean_data!$H$2:$H$1409,"Paid Search",clean_data!$C$2:$C$1409,"Control")/D31,"")</f>
        <v>0</v>
      </c>
      <c r="I31" s="18">
        <f>IFERROR(SUMIFS(clean_data!$P$2:$P$1409,clean_data!$H$2:$H$1409,"Paid Search",clean_data!$C$2:$C$1409,"Control")/D31,"")</f>
        <v>0.1858974358974359</v>
      </c>
      <c r="J31" s="20">
        <f>IFERROR(AVERAGEIFS(clean_data!$T$2:$T$1409,clean_data!$H$2:$H$1409,"Paid Search",clean_data!$C$2:$C$1409,"Control"),"")</f>
        <v>54.6</v>
      </c>
    </row>
    <row r="32" spans="1:10">
      <c r="A32" s="15" t="s">
        <v>1467</v>
      </c>
      <c r="B32" s="15" t="s">
        <v>33</v>
      </c>
      <c r="C32" s="15" t="s">
        <v>727</v>
      </c>
      <c r="D32" s="15">
        <f>COUNTIFS(clean_data!$H$2:$H$1409,"Paid Search",clean_data!$C$2:$C$1409,"Treatment")</f>
        <v>176</v>
      </c>
      <c r="E32" s="18">
        <f>IFERROR(SUMIFS(clean_data!$M$2:$M$1409,clean_data!$H$2:$H$1409,"Paid Search",clean_data!$C$2:$C$1409,"Treatment")/D32,"")</f>
        <v>6.25E-2</v>
      </c>
      <c r="F32" s="18">
        <f>IFERROR(SUMIFS(clean_data!$K$2:$K$1409,clean_data!$H$2:$H$1409,"Paid Search",clean_data!$C$2:$C$1409,"Treatment")/D32,"")</f>
        <v>0.26136363636363635</v>
      </c>
      <c r="G32" s="19">
        <f>IFERROR(SUMIFS(clean_data!$N$2:$N$1409,clean_data!$H$2:$H$1409,"Paid Search",clean_data!$C$2:$C$1409,"Treatment")/D32,"")</f>
        <v>34.781590909090909</v>
      </c>
      <c r="H32" s="18">
        <f>IFERROR(SUMIFS(clean_data!$Q$2:$Q$1409,clean_data!$H$2:$H$1409,"Paid Search",clean_data!$C$2:$C$1409,"Treatment")/D32,"")</f>
        <v>5.681818181818182E-3</v>
      </c>
      <c r="I32" s="18">
        <f>IFERROR(SUMIFS(clean_data!$P$2:$P$1409,clean_data!$H$2:$H$1409,"Paid Search",clean_data!$C$2:$C$1409,"Treatment")/D32,"")</f>
        <v>0.22159090909090909</v>
      </c>
      <c r="J32" s="20">
        <f>IFERROR(AVERAGEIFS(clean_data!$T$2:$T$1409,clean_data!$H$2:$H$1409,"Paid Search",clean_data!$C$2:$C$1409,"Treatment"),"")</f>
        <v>62.796022727272721</v>
      </c>
    </row>
    <row r="33" spans="1:10">
      <c r="A33" s="15" t="s">
        <v>1467</v>
      </c>
      <c r="B33" s="15" t="s">
        <v>43</v>
      </c>
      <c r="C33" s="15" t="s">
        <v>21</v>
      </c>
      <c r="D33" s="15">
        <f>COUNTIFS(clean_data!$H$2:$H$1409,"Referral",clean_data!$C$2:$C$1409,"Control")</f>
        <v>81</v>
      </c>
      <c r="E33" s="18">
        <f>IFERROR(SUMIFS(clean_data!$M$2:$M$1409,clean_data!$H$2:$H$1409,"Referral",clean_data!$C$2:$C$1409,"Control")/D33,"")</f>
        <v>2.4691358024691357E-2</v>
      </c>
      <c r="F33" s="18">
        <f>IFERROR(SUMIFS(clean_data!$K$2:$K$1409,clean_data!$H$2:$H$1409,"Referral",clean_data!$C$2:$C$1409,"Control")/D33,"")</f>
        <v>0.25925925925925924</v>
      </c>
      <c r="G33" s="19">
        <f>IFERROR(SUMIFS(clean_data!$N$2:$N$1409,clean_data!$H$2:$H$1409,"Referral",clean_data!$C$2:$C$1409,"Control")/D33,"")</f>
        <v>33.310987654320989</v>
      </c>
      <c r="H33" s="18">
        <f>IFERROR(SUMIFS(clean_data!$Q$2:$Q$1409,clean_data!$H$2:$H$1409,"Referral",clean_data!$C$2:$C$1409,"Control")/D33,"")</f>
        <v>0</v>
      </c>
      <c r="I33" s="18">
        <f>IFERROR(SUMIFS(clean_data!$P$2:$P$1409,clean_data!$H$2:$H$1409,"Referral",clean_data!$C$2:$C$1409,"Control")/D33,"")</f>
        <v>0.12345679012345678</v>
      </c>
      <c r="J33" s="20">
        <f>IFERROR(AVERAGEIFS(clean_data!$T$2:$T$1409,clean_data!$H$2:$H$1409,"Referral",clean_data!$C$2:$C$1409,"Control"),"")</f>
        <v>58.391358024691364</v>
      </c>
    </row>
    <row r="34" spans="1:10">
      <c r="A34" s="15" t="s">
        <v>1467</v>
      </c>
      <c r="B34" s="15" t="s">
        <v>43</v>
      </c>
      <c r="C34" s="15" t="s">
        <v>727</v>
      </c>
      <c r="D34" s="15">
        <f>COUNTIFS(clean_data!$H$2:$H$1409,"Referral",clean_data!$C$2:$C$1409,"Treatment")</f>
        <v>91</v>
      </c>
      <c r="E34" s="18">
        <f>IFERROR(SUMIFS(clean_data!$M$2:$M$1409,clean_data!$H$2:$H$1409,"Referral",clean_data!$C$2:$C$1409,"Treatment")/D34,"")</f>
        <v>0.10989010989010989</v>
      </c>
      <c r="F34" s="18">
        <f>IFERROR(SUMIFS(clean_data!$K$2:$K$1409,clean_data!$H$2:$H$1409,"Referral",clean_data!$C$2:$C$1409,"Treatment")/D34,"")</f>
        <v>0.35164835164835168</v>
      </c>
      <c r="G34" s="19">
        <f>IFERROR(SUMIFS(clean_data!$N$2:$N$1409,clean_data!$H$2:$H$1409,"Referral",clean_data!$C$2:$C$1409,"Treatment")/D34,"")</f>
        <v>103.00417582417583</v>
      </c>
      <c r="H34" s="18">
        <f>IFERROR(SUMIFS(clean_data!$Q$2:$Q$1409,clean_data!$H$2:$H$1409,"Referral",clean_data!$C$2:$C$1409,"Treatment")/D34,"")</f>
        <v>1.098901098901099E-2</v>
      </c>
      <c r="I34" s="18">
        <f>IFERROR(SUMIFS(clean_data!$P$2:$P$1409,clean_data!$H$2:$H$1409,"Referral",clean_data!$C$2:$C$1409,"Treatment")/D34,"")</f>
        <v>0.2857142857142857</v>
      </c>
      <c r="J34" s="20">
        <f>IFERROR(AVERAGEIFS(clean_data!$T$2:$T$1409,clean_data!$H$2:$H$1409,"Referral",clean_data!$C$2:$C$1409,"Treatment"),"")</f>
        <v>64.154945054945031</v>
      </c>
    </row>
    <row r="35" spans="1:10">
      <c r="A35" s="15" t="s">
        <v>1467</v>
      </c>
      <c r="B35" s="15" t="s">
        <v>45</v>
      </c>
      <c r="C35" s="15" t="s">
        <v>21</v>
      </c>
      <c r="D35" s="15">
        <f>COUNTIFS(clean_data!$H$2:$H$1409,"Social",clean_data!$C$2:$C$1409,"Control")</f>
        <v>130</v>
      </c>
      <c r="E35" s="18">
        <f>IFERROR(SUMIFS(clean_data!$M$2:$M$1409,clean_data!$H$2:$H$1409,"Social",clean_data!$C$2:$C$1409,"Control")/D35,"")</f>
        <v>7.6923076923076927E-2</v>
      </c>
      <c r="F35" s="18">
        <f>IFERROR(SUMIFS(clean_data!$K$2:$K$1409,clean_data!$H$2:$H$1409,"Social",clean_data!$C$2:$C$1409,"Control")/D35,"")</f>
        <v>0.31538461538461537</v>
      </c>
      <c r="G35" s="19">
        <f>IFERROR(SUMIFS(clean_data!$N$2:$N$1409,clean_data!$H$2:$H$1409,"Social",clean_data!$C$2:$C$1409,"Control")/D35,"")</f>
        <v>136.08715384615383</v>
      </c>
      <c r="H35" s="18">
        <f>IFERROR(SUMIFS(clean_data!$Q$2:$Q$1409,clean_data!$H$2:$H$1409,"Social",clean_data!$C$2:$C$1409,"Control")/D35,"")</f>
        <v>0</v>
      </c>
      <c r="I35" s="18">
        <f>IFERROR(SUMIFS(clean_data!$P$2:$P$1409,clean_data!$H$2:$H$1409,"Social",clean_data!$C$2:$C$1409,"Control")/D35,"")</f>
        <v>0.14615384615384616</v>
      </c>
      <c r="J35" s="20">
        <f>IFERROR(AVERAGEIFS(clean_data!$T$2:$T$1409,clean_data!$H$2:$H$1409,"Social",clean_data!$C$2:$C$1409,"Control"),"")</f>
        <v>56.001538461538438</v>
      </c>
    </row>
    <row r="36" spans="1:10">
      <c r="A36" s="15" t="s">
        <v>1467</v>
      </c>
      <c r="B36" s="15" t="s">
        <v>45</v>
      </c>
      <c r="C36" s="15" t="s">
        <v>727</v>
      </c>
      <c r="D36" s="15">
        <f>COUNTIFS(clean_data!$H$2:$H$1409,"Social",clean_data!$C$2:$C$1409,"Treatment")</f>
        <v>133</v>
      </c>
      <c r="E36" s="18">
        <f>IFERROR(SUMIFS(clean_data!$M$2:$M$1409,clean_data!$H$2:$H$1409,"Social",clean_data!$C$2:$C$1409,"Treatment")/D36,"")</f>
        <v>6.0150375939849621E-2</v>
      </c>
      <c r="F36" s="18">
        <f>IFERROR(SUMIFS(clean_data!$K$2:$K$1409,clean_data!$H$2:$H$1409,"Social",clean_data!$C$2:$C$1409,"Treatment")/D36,"")</f>
        <v>0.31578947368421051</v>
      </c>
      <c r="G36" s="19">
        <f>IFERROR(SUMIFS(clean_data!$N$2:$N$1409,clean_data!$H$2:$H$1409,"Social",clean_data!$C$2:$C$1409,"Treatment")/D36,"")</f>
        <v>51.552105263157898</v>
      </c>
      <c r="H36" s="18">
        <f>IFERROR(SUMIFS(clean_data!$Q$2:$Q$1409,clean_data!$H$2:$H$1409,"Social",clean_data!$C$2:$C$1409,"Treatment")/D36,"")</f>
        <v>7.5187969924812026E-3</v>
      </c>
      <c r="I36" s="18">
        <f>IFERROR(SUMIFS(clean_data!$P$2:$P$1409,clean_data!$H$2:$H$1409,"Social",clean_data!$C$2:$C$1409,"Treatment")/D36,"")</f>
        <v>0.27067669172932329</v>
      </c>
      <c r="J36" s="20">
        <f>IFERROR(AVERAGEIFS(clean_data!$T$2:$T$1409,clean_data!$H$2:$H$1409,"Social",clean_data!$C$2:$C$1409,"Treatment"),"")</f>
        <v>63.790225563909807</v>
      </c>
    </row>
    <row r="37" spans="1:10">
      <c r="A37" s="15" t="s">
        <v>1467</v>
      </c>
      <c r="B37" s="15" t="s">
        <v>1466</v>
      </c>
      <c r="C37" s="15" t="s">
        <v>21</v>
      </c>
      <c r="D37" s="15">
        <f>COUNTIFS(clean_data!$H$2:$H$1409,"Unknown",clean_data!$C$2:$C$1409,"Control")</f>
        <v>6</v>
      </c>
      <c r="E37" s="18">
        <f>IFERROR(SUMIFS(clean_data!$M$2:$M$1409,clean_data!$H$2:$H$1409,"Unknown",clean_data!$C$2:$C$1409,"Control")/D37,"")</f>
        <v>0.16666666666666666</v>
      </c>
      <c r="F37" s="18">
        <f>IFERROR(SUMIFS(clean_data!$K$2:$K$1409,clean_data!$H$2:$H$1409,"Unknown",clean_data!$C$2:$C$1409,"Control")/D37,"")</f>
        <v>0.33333333333333331</v>
      </c>
      <c r="G37" s="19">
        <f>IFERROR(SUMIFS(clean_data!$N$2:$N$1409,clean_data!$H$2:$H$1409,"Unknown",clean_data!$C$2:$C$1409,"Control")/D37,"")</f>
        <v>199.78166666666667</v>
      </c>
      <c r="H37" s="18">
        <f>IFERROR(SUMIFS(clean_data!$Q$2:$Q$1409,clean_data!$H$2:$H$1409,"Unknown",clean_data!$C$2:$C$1409,"Control")/D37,"")</f>
        <v>0</v>
      </c>
      <c r="I37" s="18">
        <f>IFERROR(SUMIFS(clean_data!$P$2:$P$1409,clean_data!$H$2:$H$1409,"Unknown",clean_data!$C$2:$C$1409,"Control")/D37,"")</f>
        <v>0.33333333333333331</v>
      </c>
      <c r="J37" s="20">
        <f>IFERROR(AVERAGEIFS(clean_data!$T$2:$T$1409,clean_data!$H$2:$H$1409,"Unknown",clean_data!$C$2:$C$1409,"Control"),"")</f>
        <v>58.183333333333337</v>
      </c>
    </row>
    <row r="38" spans="1:10">
      <c r="A38" s="15" t="s">
        <v>1467</v>
      </c>
      <c r="B38" s="15" t="s">
        <v>1466</v>
      </c>
      <c r="C38" s="15" t="s">
        <v>727</v>
      </c>
      <c r="D38" s="15">
        <f>COUNTIFS(clean_data!$H$2:$H$1409,"Unknown",clean_data!$C$2:$C$1409,"Treatment")</f>
        <v>18</v>
      </c>
      <c r="E38" s="18">
        <f>IFERROR(SUMIFS(clean_data!$M$2:$M$1409,clean_data!$H$2:$H$1409,"Unknown",clean_data!$C$2:$C$1409,"Treatment")/D38,"")</f>
        <v>0.1111111111111111</v>
      </c>
      <c r="F38" s="18">
        <f>IFERROR(SUMIFS(clean_data!$K$2:$K$1409,clean_data!$H$2:$H$1409,"Unknown",clean_data!$C$2:$C$1409,"Treatment")/D38,"")</f>
        <v>0.22222222222222221</v>
      </c>
      <c r="G38" s="19">
        <f>IFERROR(SUMIFS(clean_data!$N$2:$N$1409,clean_data!$H$2:$H$1409,"Unknown",clean_data!$C$2:$C$1409,"Treatment")/D38,"")</f>
        <v>79.453888888888898</v>
      </c>
      <c r="H38" s="18">
        <f>IFERROR(SUMIFS(clean_data!$Q$2:$Q$1409,clean_data!$H$2:$H$1409,"Unknown",clean_data!$C$2:$C$1409,"Treatment")/D38,"")</f>
        <v>0</v>
      </c>
      <c r="I38" s="18">
        <f>IFERROR(SUMIFS(clean_data!$P$2:$P$1409,clean_data!$H$2:$H$1409,"Unknown",clean_data!$C$2:$C$1409,"Treatment")/D38,"")</f>
        <v>0.1111111111111111</v>
      </c>
      <c r="J38" s="20">
        <f>IFERROR(AVERAGEIFS(clean_data!$T$2:$T$1409,clean_data!$H$2:$H$1409,"Unknown",clean_data!$C$2:$C$1409,"Treatment"),"")</f>
        <v>71.522222222222226</v>
      </c>
    </row>
    <row r="41" spans="1:10">
      <c r="A41" s="32" t="s">
        <v>1468</v>
      </c>
    </row>
    <row r="42" spans="1:10">
      <c r="A42" s="32" t="s">
        <v>1461</v>
      </c>
      <c r="B42" s="32" t="s">
        <v>1462</v>
      </c>
      <c r="C42" s="32" t="s">
        <v>1437</v>
      </c>
      <c r="D42" s="32" t="s">
        <v>1438</v>
      </c>
      <c r="E42" s="32" t="s">
        <v>1442</v>
      </c>
      <c r="F42" s="32" t="s">
        <v>1440</v>
      </c>
      <c r="G42" s="32" t="s">
        <v>1463</v>
      </c>
      <c r="H42" s="32" t="s">
        <v>1445</v>
      </c>
      <c r="I42" s="32" t="s">
        <v>1446</v>
      </c>
      <c r="J42" s="32" t="s">
        <v>1464</v>
      </c>
    </row>
    <row r="43" spans="1:10">
      <c r="A43" s="15" t="s">
        <v>1468</v>
      </c>
      <c r="B43" s="15" t="s">
        <v>25</v>
      </c>
      <c r="C43" s="15" t="s">
        <v>21</v>
      </c>
      <c r="D43" s="15">
        <f>COUNTIFS(clean_data!$I$2:$I$1409,"Basic",clean_data!$C$2:$C$1409,"Control")</f>
        <v>223</v>
      </c>
      <c r="E43" s="18">
        <f>IFERROR(SUMIFS(clean_data!$M$2:$M$1409,clean_data!$I$2:$I$1409,"Basic",clean_data!$C$2:$C$1409,"Control")/D43,"")</f>
        <v>3.5874439461883408E-2</v>
      </c>
      <c r="F43" s="18">
        <f>IFERROR(SUMIFS(clean_data!$K$2:$K$1409,clean_data!$I$2:$I$1409,"Basic",clean_data!$C$2:$C$1409,"Control")/D43,"")</f>
        <v>0.23766816143497757</v>
      </c>
      <c r="G43" s="19">
        <f>IFERROR(SUMIFS(clean_data!$N$2:$N$1409,clean_data!$I$2:$I$1409,"Basic",clean_data!$C$2:$C$1409,"Control")/D43,"")</f>
        <v>97.800313901345277</v>
      </c>
      <c r="H43" s="18">
        <f>IFERROR(SUMIFS(clean_data!$Q$2:$Q$1409,clean_data!$I$2:$I$1409,"Basic",clean_data!$C$2:$C$1409,"Control")/D43,"")</f>
        <v>0</v>
      </c>
      <c r="I43" s="18">
        <f>IFERROR(SUMIFS(clean_data!$P$2:$P$1409,clean_data!$I$2:$I$1409,"Basic",clean_data!$C$2:$C$1409,"Control")/D43,"")</f>
        <v>0.14349775784753363</v>
      </c>
      <c r="J43" s="20">
        <f>IFERROR(AVERAGEIFS(clean_data!$T$2:$T$1409,clean_data!$I$2:$I$1409,"Basic",clean_data!$C$2:$C$1409,"Control"),"")</f>
        <v>56.924663677129999</v>
      </c>
    </row>
    <row r="44" spans="1:10">
      <c r="A44" s="15" t="s">
        <v>1468</v>
      </c>
      <c r="B44" s="15" t="s">
        <v>25</v>
      </c>
      <c r="C44" s="15" t="s">
        <v>727</v>
      </c>
      <c r="D44" s="15">
        <f>COUNTIFS(clean_data!$I$2:$I$1409,"Basic",clean_data!$C$2:$C$1409,"Treatment")</f>
        <v>235</v>
      </c>
      <c r="E44" s="18">
        <f>IFERROR(SUMIFS(clean_data!$M$2:$M$1409,clean_data!$I$2:$I$1409,"Basic",clean_data!$C$2:$C$1409,"Treatment")/D44,"")</f>
        <v>3.8297872340425532E-2</v>
      </c>
      <c r="F44" s="18">
        <f>IFERROR(SUMIFS(clean_data!$K$2:$K$1409,clean_data!$I$2:$I$1409,"Basic",clean_data!$C$2:$C$1409,"Treatment")/D44,"")</f>
        <v>0.28085106382978725</v>
      </c>
      <c r="G44" s="19">
        <f>IFERROR(SUMIFS(clean_data!$N$2:$N$1409,clean_data!$I$2:$I$1409,"Basic",clean_data!$C$2:$C$1409,"Treatment")/D44,"")</f>
        <v>36.288595744680848</v>
      </c>
      <c r="H44" s="18">
        <f>IFERROR(SUMIFS(clean_data!$Q$2:$Q$1409,clean_data!$I$2:$I$1409,"Basic",clean_data!$C$2:$C$1409,"Treatment")/D44,"")</f>
        <v>0</v>
      </c>
      <c r="I44" s="18">
        <f>IFERROR(SUMIFS(clean_data!$P$2:$P$1409,clean_data!$I$2:$I$1409,"Basic",clean_data!$C$2:$C$1409,"Treatment")/D44,"")</f>
        <v>0.24680851063829787</v>
      </c>
      <c r="J44" s="20">
        <f>IFERROR(AVERAGEIFS(clean_data!$T$2:$T$1409,clean_data!$I$2:$I$1409,"Basic",clean_data!$C$2:$C$1409,"Treatment"),"")</f>
        <v>62.872765957446809</v>
      </c>
    </row>
    <row r="45" spans="1:10">
      <c r="A45" s="15" t="s">
        <v>1468</v>
      </c>
      <c r="B45" s="15" t="s">
        <v>30</v>
      </c>
      <c r="C45" s="15" t="s">
        <v>21</v>
      </c>
      <c r="D45" s="15">
        <f>COUNTIFS(clean_data!$I$2:$I$1409,"Free",clean_data!$C$2:$C$1409,"Control")</f>
        <v>361</v>
      </c>
      <c r="E45" s="18">
        <f>IFERROR(SUMIFS(clean_data!$M$2:$M$1409,clean_data!$I$2:$I$1409,"Free",clean_data!$C$2:$C$1409,"Control")/D45,"")</f>
        <v>3.0470914127423823E-2</v>
      </c>
      <c r="F45" s="18">
        <f>IFERROR(SUMIFS(clean_data!$K$2:$K$1409,clean_data!$I$2:$I$1409,"Free",clean_data!$C$2:$C$1409,"Control")/D45,"")</f>
        <v>0.24930747922437674</v>
      </c>
      <c r="G45" s="19">
        <f>IFERROR(SUMIFS(clean_data!$N$2:$N$1409,clean_data!$I$2:$I$1409,"Free",clean_data!$C$2:$C$1409,"Control")/D45,"")</f>
        <v>22.665595567867033</v>
      </c>
      <c r="H45" s="18">
        <f>IFERROR(SUMIFS(clean_data!$Q$2:$Q$1409,clean_data!$I$2:$I$1409,"Free",clean_data!$C$2:$C$1409,"Control")/D45,"")</f>
        <v>0</v>
      </c>
      <c r="I45" s="18">
        <f>IFERROR(SUMIFS(clean_data!$P$2:$P$1409,clean_data!$I$2:$I$1409,"Free",clean_data!$C$2:$C$1409,"Control")/D45,"")</f>
        <v>0.12188365650969529</v>
      </c>
      <c r="J45" s="20">
        <f>IFERROR(AVERAGEIFS(clean_data!$T$2:$T$1409,clean_data!$I$2:$I$1409,"Free",clean_data!$C$2:$C$1409,"Control"),"")</f>
        <v>57.323545706371149</v>
      </c>
    </row>
    <row r="46" spans="1:10">
      <c r="A46" s="15" t="s">
        <v>1468</v>
      </c>
      <c r="B46" s="15" t="s">
        <v>30</v>
      </c>
      <c r="C46" s="15" t="s">
        <v>727</v>
      </c>
      <c r="D46" s="15">
        <f>COUNTIFS(clean_data!$I$2:$I$1409,"Free",clean_data!$C$2:$C$1409,"Treatment")</f>
        <v>368</v>
      </c>
      <c r="E46" s="18">
        <f>IFERROR(SUMIFS(clean_data!$M$2:$M$1409,clean_data!$I$2:$I$1409,"Free",clean_data!$C$2:$C$1409,"Treatment")/D46,"")</f>
        <v>9.2391304347826081E-2</v>
      </c>
      <c r="F46" s="18">
        <f>IFERROR(SUMIFS(clean_data!$K$2:$K$1409,clean_data!$I$2:$I$1409,"Free",clean_data!$C$2:$C$1409,"Treatment")/D46,"")</f>
        <v>0.31793478260869568</v>
      </c>
      <c r="G46" s="19">
        <f>IFERROR(SUMIFS(clean_data!$N$2:$N$1409,clean_data!$I$2:$I$1409,"Free",clean_data!$C$2:$C$1409,"Treatment")/D46,"")</f>
        <v>50.897309782608694</v>
      </c>
      <c r="H46" s="18">
        <f>IFERROR(SUMIFS(clean_data!$Q$2:$Q$1409,clean_data!$I$2:$I$1409,"Free",clean_data!$C$2:$C$1409,"Treatment")/D46,"")</f>
        <v>5.434782608695652E-3</v>
      </c>
      <c r="I46" s="18">
        <f>IFERROR(SUMIFS(clean_data!$P$2:$P$1409,clean_data!$I$2:$I$1409,"Free",clean_data!$C$2:$C$1409,"Treatment")/D46,"")</f>
        <v>0.24184782608695651</v>
      </c>
      <c r="J46" s="20">
        <f>IFERROR(AVERAGEIFS(clean_data!$T$2:$T$1409,clean_data!$I$2:$I$1409,"Free",clean_data!$C$2:$C$1409,"Treatment"),"")</f>
        <v>62.229076086956532</v>
      </c>
    </row>
    <row r="47" spans="1:10">
      <c r="A47" s="15" t="s">
        <v>1468</v>
      </c>
      <c r="B47" s="15" t="s">
        <v>34</v>
      </c>
      <c r="C47" s="15" t="s">
        <v>21</v>
      </c>
      <c r="D47" s="15">
        <f>COUNTIFS(clean_data!$I$2:$I$1409,"Premium",clean_data!$C$2:$C$1409,"Control")</f>
        <v>109</v>
      </c>
      <c r="E47" s="18">
        <f>IFERROR(SUMIFS(clean_data!$M$2:$M$1409,clean_data!$I$2:$I$1409,"Premium",clean_data!$C$2:$C$1409,"Control")/D47,"")</f>
        <v>2.7522935779816515E-2</v>
      </c>
      <c r="F47" s="18">
        <f>IFERROR(SUMIFS(clean_data!$K$2:$K$1409,clean_data!$I$2:$I$1409,"Premium",clean_data!$C$2:$C$1409,"Control")/D47,"")</f>
        <v>0.28440366972477066</v>
      </c>
      <c r="G47" s="19">
        <f>IFERROR(SUMIFS(clean_data!$N$2:$N$1409,clean_data!$I$2:$I$1409,"Premium",clean_data!$C$2:$C$1409,"Control")/D47,"")</f>
        <v>53.85807339449542</v>
      </c>
      <c r="H47" s="18">
        <f>IFERROR(SUMIFS(clean_data!$Q$2:$Q$1409,clean_data!$I$2:$I$1409,"Premium",clean_data!$C$2:$C$1409,"Control")/D47,"")</f>
        <v>0</v>
      </c>
      <c r="I47" s="18">
        <f>IFERROR(SUMIFS(clean_data!$P$2:$P$1409,clean_data!$I$2:$I$1409,"Premium",clean_data!$C$2:$C$1409,"Control")/D47,"")</f>
        <v>0.23853211009174313</v>
      </c>
      <c r="J47" s="20">
        <f>IFERROR(AVERAGEIFS(clean_data!$T$2:$T$1409,clean_data!$I$2:$I$1409,"Premium",clean_data!$C$2:$C$1409,"Control"),"")</f>
        <v>56.407339449541283</v>
      </c>
    </row>
    <row r="48" spans="1:10">
      <c r="A48" s="15" t="s">
        <v>1468</v>
      </c>
      <c r="B48" s="15" t="s">
        <v>34</v>
      </c>
      <c r="C48" s="15" t="s">
        <v>727</v>
      </c>
      <c r="D48" s="15">
        <f>COUNTIFS(clean_data!$I$2:$I$1409,"Premium",clean_data!$C$2:$C$1409,"Treatment")</f>
        <v>112</v>
      </c>
      <c r="E48" s="18">
        <f>IFERROR(SUMIFS(clean_data!$M$2:$M$1409,clean_data!$I$2:$I$1409,"Premium",clean_data!$C$2:$C$1409,"Treatment")/D48,"")</f>
        <v>6.25E-2</v>
      </c>
      <c r="F48" s="18">
        <f>IFERROR(SUMIFS(clean_data!$K$2:$K$1409,clean_data!$I$2:$I$1409,"Premium",clean_data!$C$2:$C$1409,"Treatment")/D48,"")</f>
        <v>0.22321428571428573</v>
      </c>
      <c r="G48" s="19">
        <f>IFERROR(SUMIFS(clean_data!$N$2:$N$1409,clean_data!$I$2:$I$1409,"Premium",clean_data!$C$2:$C$1409,"Treatment")/D48,"")</f>
        <v>100.55964285714286</v>
      </c>
      <c r="H48" s="18">
        <f>IFERROR(SUMIFS(clean_data!$Q$2:$Q$1409,clean_data!$I$2:$I$1409,"Premium",clean_data!$C$2:$C$1409,"Treatment")/D48,"")</f>
        <v>8.9285714285714281E-3</v>
      </c>
      <c r="I48" s="18">
        <f>IFERROR(SUMIFS(clean_data!$P$2:$P$1409,clean_data!$I$2:$I$1409,"Premium",clean_data!$C$2:$C$1409,"Treatment")/D48,"")</f>
        <v>0.26785714285714285</v>
      </c>
      <c r="J48" s="20">
        <f>IFERROR(AVERAGEIFS(clean_data!$T$2:$T$1409,clean_data!$I$2:$I$1409,"Premium",clean_data!$C$2:$C$1409,"Treatment"),"")</f>
        <v>65.149107142857133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showGridLines="0" workbookViewId="0">
      <pane ySplit="1" topLeftCell="A2" activePane="bottomLeft" state="frozen"/>
      <selection pane="bottomLeft" activeCell="B5" sqref="B5"/>
    </sheetView>
  </sheetViews>
  <sheetFormatPr defaultRowHeight="14.25"/>
  <cols>
    <col min="1" max="1" width="36" customWidth="1"/>
    <col min="2" max="3" width="29" customWidth="1"/>
    <col min="4" max="4" width="16" customWidth="1"/>
    <col min="5" max="5" width="22" customWidth="1"/>
  </cols>
  <sheetData>
    <row r="1" spans="1:5" ht="15" customHeight="1">
      <c r="A1" s="32" t="s">
        <v>1469</v>
      </c>
      <c r="B1" s="32" t="s">
        <v>21</v>
      </c>
      <c r="C1" s="32" t="s">
        <v>727</v>
      </c>
      <c r="D1" s="32" t="s">
        <v>1470</v>
      </c>
      <c r="E1" s="32" t="s">
        <v>1471</v>
      </c>
    </row>
    <row r="2" spans="1:5" ht="15" customHeight="1">
      <c r="A2" s="8" t="s">
        <v>1438</v>
      </c>
      <c r="B2" s="9">
        <f>Control_vs_Treatment!B$2</f>
        <v>693</v>
      </c>
      <c r="C2" s="9">
        <f>Control_vs_Treatment!B$3</f>
        <v>715</v>
      </c>
      <c r="D2" s="9">
        <f>C2-B2</f>
        <v>22</v>
      </c>
      <c r="E2" s="10">
        <f>IFERROR(D2/B2,"")</f>
        <v>3.1746031746031744E-2</v>
      </c>
    </row>
    <row r="3" spans="1:5" ht="15" customHeight="1">
      <c r="A3" s="8" t="s">
        <v>1439</v>
      </c>
      <c r="B3" s="10">
        <f>Control_vs_Treatment!C$2</f>
        <v>0.63636363636363635</v>
      </c>
      <c r="C3" s="10">
        <f>Control_vs_Treatment!C$3</f>
        <v>0.72587412587412592</v>
      </c>
      <c r="D3" s="10">
        <f>C3-B3</f>
        <v>8.9510489510489566E-2</v>
      </c>
      <c r="E3" s="10">
        <f>IFERROR(D3/B3,"")</f>
        <v>0.14065934065934074</v>
      </c>
    </row>
    <row r="4" spans="1:5" ht="15" customHeight="1">
      <c r="A4" s="8" t="s">
        <v>1440</v>
      </c>
      <c r="B4" s="10">
        <f>Control_vs_Treatment!D$2</f>
        <v>0.25108225108225107</v>
      </c>
      <c r="C4" s="10">
        <f>Control_vs_Treatment!D$3</f>
        <v>0.29090909090909089</v>
      </c>
      <c r="D4" s="10">
        <f>C4-B4</f>
        <v>3.9826839826839822E-2</v>
      </c>
      <c r="E4" s="10">
        <f>IFERROR(D4/B4,"")</f>
        <v>0.1586206896551724</v>
      </c>
    </row>
    <row r="5" spans="1:5" ht="15" customHeight="1">
      <c r="A5" s="8" t="s">
        <v>1441</v>
      </c>
      <c r="B5" s="10">
        <f>Control_vs_Treatment!E$2</f>
        <v>0.15584415584415584</v>
      </c>
      <c r="C5" s="10">
        <f>Control_vs_Treatment!E$3</f>
        <v>0.21258741258741259</v>
      </c>
      <c r="D5" s="10">
        <f>C5-B5</f>
        <v>5.6743256743256754E-2</v>
      </c>
      <c r="E5" s="10">
        <f>IFERROR(D5/B5,"")</f>
        <v>0.3641025641025642</v>
      </c>
    </row>
    <row r="6" spans="1:5" ht="15" customHeight="1">
      <c r="A6" s="8" t="s">
        <v>1442</v>
      </c>
      <c r="B6" s="10">
        <f>Control_vs_Treatment!F$2</f>
        <v>3.1746031746031744E-2</v>
      </c>
      <c r="C6" s="10">
        <f>Control_vs_Treatment!F$3</f>
        <v>6.9930069930069935E-2</v>
      </c>
      <c r="D6" s="10">
        <f>C6-B6</f>
        <v>3.8184038184038191E-2</v>
      </c>
      <c r="E6" s="10">
        <f>IFERROR(D6/B6,"")</f>
        <v>1.2027972027972031</v>
      </c>
    </row>
    <row r="7" spans="1:5" ht="15" customHeight="1">
      <c r="A7" s="8" t="s">
        <v>1443</v>
      </c>
      <c r="B7" s="11">
        <f>Control_vs_Treatment!G$2</f>
        <v>51.74932178932179</v>
      </c>
      <c r="C7" s="11">
        <f>Control_vs_Treatment!G$3</f>
        <v>53.875118881118873</v>
      </c>
      <c r="D7" s="11">
        <f>C7-B7</f>
        <v>2.1257970917970823</v>
      </c>
      <c r="E7" s="10">
        <f>IFERROR(D7/B7,"")</f>
        <v>4.1078743030710206E-2</v>
      </c>
    </row>
    <row r="8" spans="1:5" ht="15" customHeight="1">
      <c r="A8" s="8" t="s">
        <v>1444</v>
      </c>
      <c r="B8" s="11">
        <f>Control_vs_Treatment!H$2</f>
        <v>1630.1036363636363</v>
      </c>
      <c r="C8" s="11">
        <f>Control_vs_Treatment!H$3</f>
        <v>770.41419999999982</v>
      </c>
      <c r="D8" s="11">
        <f>C8-B8</f>
        <v>-859.68943636363645</v>
      </c>
      <c r="E8" s="10">
        <f>IFERROR(D8/B8,"")</f>
        <v>-0.52738330078288398</v>
      </c>
    </row>
    <row r="9" spans="1:5" ht="15" customHeight="1">
      <c r="A9" s="8" t="s">
        <v>1445</v>
      </c>
      <c r="B9" s="10">
        <f>Control_vs_Treatment!I$2</f>
        <v>0</v>
      </c>
      <c r="C9" s="10">
        <f>Control_vs_Treatment!I$3</f>
        <v>4.1958041958041958E-3</v>
      </c>
      <c r="D9" s="10">
        <f>C9-B9</f>
        <v>4.1958041958041958E-3</v>
      </c>
      <c r="E9" s="10" t="str">
        <f>IFERROR(D9/B9,"")</f>
        <v/>
      </c>
    </row>
    <row r="10" spans="1:5" ht="15" customHeight="1">
      <c r="A10" s="8" t="s">
        <v>1446</v>
      </c>
      <c r="B10" s="10">
        <f>Control_vs_Treatment!J$2</f>
        <v>0.1471861471861472</v>
      </c>
      <c r="C10" s="10">
        <f>Control_vs_Treatment!J$3</f>
        <v>0.24755244755244754</v>
      </c>
      <c r="D10" s="10">
        <f>C10-B10</f>
        <v>0.10036630036630034</v>
      </c>
      <c r="E10" s="10">
        <f>IFERROR(D10/B10,"")</f>
        <v>0.68190045248868758</v>
      </c>
    </row>
    <row r="11" spans="1:5" ht="15" customHeight="1">
      <c r="A11" s="8" t="s">
        <v>1447</v>
      </c>
      <c r="B11" s="12">
        <f>Control_vs_Treatment!K$2</f>
        <v>57.051082251082306</v>
      </c>
      <c r="C11" s="12">
        <f>Control_vs_Treatment!K$3</f>
        <v>62.898041958041965</v>
      </c>
      <c r="D11" s="12">
        <f>C11-B11</f>
        <v>5.8469597069596588</v>
      </c>
      <c r="E11" s="10">
        <f>IFERROR(D11/B11,"")</f>
        <v>0.10248639423222751</v>
      </c>
    </row>
    <row r="12" spans="1:5" ht="15" customHeight="1">
      <c r="A12" s="8" t="s">
        <v>1448</v>
      </c>
      <c r="B12" s="12">
        <f>Control_vs_Treatment!L$2</f>
        <v>8.8636363636363633</v>
      </c>
      <c r="C12" s="12">
        <f>Control_vs_Treatment!L$3</f>
        <v>6.4</v>
      </c>
      <c r="D12" s="12">
        <f>C12-B12</f>
        <v>-2.463636363636363</v>
      </c>
      <c r="E12" s="10">
        <f>IFERROR(D12/B12,"")</f>
        <v>-0.27794871794871789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showGridLines="0" workbookViewId="0">
      <pane ySplit="1" topLeftCell="A2" activePane="bottomLeft" state="frozen"/>
      <selection pane="bottomLeft" activeCell="D2" sqref="D2"/>
    </sheetView>
  </sheetViews>
  <sheetFormatPr defaultRowHeight="14.25"/>
  <cols>
    <col min="1" max="1" width="26" customWidth="1"/>
    <col min="2" max="2" width="37.875" customWidth="1"/>
  </cols>
  <sheetData>
    <row r="1" spans="1:2" ht="15" customHeight="1">
      <c r="A1" s="32" t="s">
        <v>1472</v>
      </c>
      <c r="B1" s="32" t="s">
        <v>1473</v>
      </c>
    </row>
    <row r="2" spans="1:2" ht="15" customHeight="1">
      <c r="A2" s="8" t="s">
        <v>1474</v>
      </c>
      <c r="B2" s="9">
        <f>COUNTIFS(clean_data!$C$2:$C$1409,"Control",clean_data!$M$2:$M$1409,1)</f>
        <v>22</v>
      </c>
    </row>
    <row r="3" spans="1:2" ht="15" customHeight="1">
      <c r="A3" s="8" t="s">
        <v>1475</v>
      </c>
      <c r="B3" s="9">
        <f>COUNTIF(clean_data!$C$2:$C$1409,"Control")</f>
        <v>693</v>
      </c>
    </row>
    <row r="4" spans="1:2" ht="15" customHeight="1">
      <c r="A4" s="8" t="s">
        <v>1476</v>
      </c>
      <c r="B4" s="10">
        <f>B2/B3</f>
        <v>3.1746031746031744E-2</v>
      </c>
    </row>
    <row r="5" spans="1:2" ht="15" customHeight="1">
      <c r="A5" s="8" t="s">
        <v>1477</v>
      </c>
      <c r="B5" s="9">
        <f>COUNTIFS(clean_data!$C$2:$C$1409,"Treatment",clean_data!$M$2:$M$1409,1)</f>
        <v>50</v>
      </c>
    </row>
    <row r="6" spans="1:2" ht="15" customHeight="1">
      <c r="A6" s="8" t="s">
        <v>1478</v>
      </c>
      <c r="B6" s="9">
        <f>COUNTIF(clean_data!$C$2:$C$1409,"Treatment")</f>
        <v>715</v>
      </c>
    </row>
    <row r="7" spans="1:2" ht="15" customHeight="1">
      <c r="A7" s="8" t="s">
        <v>1479</v>
      </c>
      <c r="B7" s="10">
        <f>B5/B6</f>
        <v>6.9930069930069935E-2</v>
      </c>
    </row>
    <row r="8" spans="1:2" ht="15" customHeight="1">
      <c r="A8" s="8" t="s">
        <v>1480</v>
      </c>
      <c r="B8" s="10">
        <f>B7-B4</f>
        <v>3.8184038184038191E-2</v>
      </c>
    </row>
    <row r="9" spans="1:2" ht="15" customHeight="1">
      <c r="A9" s="8" t="s">
        <v>1481</v>
      </c>
      <c r="B9" s="10">
        <f>B8/B4</f>
        <v>1.2027972027972031</v>
      </c>
    </row>
    <row r="10" spans="1:2" ht="15" customHeight="1">
      <c r="A10" s="8" t="s">
        <v>1482</v>
      </c>
      <c r="B10" s="10">
        <f>(B2+B5)/(B3+B6)</f>
        <v>5.113636363636364E-2</v>
      </c>
    </row>
    <row r="11" spans="1:2" ht="15" customHeight="1">
      <c r="A11" s="8" t="s">
        <v>1483</v>
      </c>
      <c r="B11" s="13">
        <f>SQRT(B10*(1-B10)*(1/B3+1/B6))</f>
        <v>1.1742174001237782E-2</v>
      </c>
    </row>
    <row r="12" spans="1:2" ht="15" customHeight="1">
      <c r="A12" s="8" t="s">
        <v>1484</v>
      </c>
      <c r="B12" s="14">
        <f>(B7-B4)/B11</f>
        <v>3.2518712616601562</v>
      </c>
    </row>
    <row r="13" spans="1:2">
      <c r="A13" s="15" t="s">
        <v>1485</v>
      </c>
      <c r="B13" s="16">
        <f>1 - _xlfn.NORM.S.DIST(B12, TRUE)</f>
        <v>5.7323968694367178E-4</v>
      </c>
    </row>
    <row r="14" spans="1:2">
      <c r="A14" s="15" t="s">
        <v>1486</v>
      </c>
      <c r="B14" s="16">
        <f>2 * (1 - _xlfn.NORM.S.DIST(ABS(B12), TRUE))</f>
        <v>1.1464793738873436E-3</v>
      </c>
    </row>
    <row r="15" spans="1:2">
      <c r="A15" s="15" t="s">
        <v>1487</v>
      </c>
      <c r="B15" s="17" t="str">
        <f>IF(B13&lt;0.05,"Reject null hypothesis","Fail to reject null hypothesis")</f>
        <v>Reject null hypothesis</v>
      </c>
    </row>
    <row r="16" spans="1:2" s="2" customFormat="1" ht="33.75">
      <c r="A16" s="15" t="s">
        <v>1488</v>
      </c>
      <c r="B16" s="17" t="str">
        <f>IF(B13&lt;0.05,"Treatment shows statistically significant improvement in paid conversion rate.","Treatment does not show statistically significant improvement in paid conversion rate.")</f>
        <v>Treatment shows statistically significant improvement in paid conversion rate.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showGridLines="0" workbookViewId="0">
      <pane ySplit="1" topLeftCell="A2" activePane="bottomLeft" state="frozen"/>
      <selection pane="bottomLeft" activeCell="A14" sqref="A14"/>
    </sheetView>
  </sheetViews>
  <sheetFormatPr defaultRowHeight="14.25"/>
  <cols>
    <col min="1" max="1" width="36" customWidth="1"/>
    <col min="2" max="2" width="26" customWidth="1"/>
    <col min="3" max="5" width="26" bestFit="1" customWidth="1"/>
    <col min="6" max="6" width="33" customWidth="1"/>
  </cols>
  <sheetData>
    <row r="1" spans="1:6" ht="15" customHeight="1">
      <c r="A1" s="32" t="s">
        <v>1469</v>
      </c>
      <c r="B1" s="35" t="s">
        <v>21</v>
      </c>
      <c r="C1" s="37" t="s">
        <v>727</v>
      </c>
      <c r="D1" s="32" t="s">
        <v>1470</v>
      </c>
      <c r="E1" s="37" t="s">
        <v>1471</v>
      </c>
      <c r="F1" s="32" t="s">
        <v>1489</v>
      </c>
    </row>
    <row r="2" spans="1:6" ht="15" customHeight="1">
      <c r="A2" s="8" t="s">
        <v>1443</v>
      </c>
      <c r="B2" s="41">
        <f>'Executive summary'!B7</f>
        <v>51.74932178932179</v>
      </c>
      <c r="C2" s="39">
        <f>'Executive summary'!C7</f>
        <v>53.875118881118873</v>
      </c>
      <c r="D2" s="11">
        <f>'Executive summary'!D7</f>
        <v>2.1257970917970823</v>
      </c>
      <c r="E2" s="38">
        <f>'Executive summary'!E7</f>
        <v>4.1078743030710206E-2</v>
      </c>
      <c r="F2" s="8" t="str">
        <f>IF(C2&lt;B2,"Watch","Acceptable")</f>
        <v>Acceptable</v>
      </c>
    </row>
    <row r="3" spans="1:6" ht="15" customHeight="1">
      <c r="A3" s="8" t="s">
        <v>1444</v>
      </c>
      <c r="B3" s="41">
        <f>'Executive summary'!B8</f>
        <v>1630.1036363636363</v>
      </c>
      <c r="C3" s="39">
        <f>'Executive summary'!C8</f>
        <v>770.41419999999982</v>
      </c>
      <c r="D3" s="11">
        <f>'Executive summary'!D8</f>
        <v>-859.68943636363645</v>
      </c>
      <c r="E3" s="38">
        <f>'Executive summary'!E8</f>
        <v>-0.52738330078288398</v>
      </c>
      <c r="F3" s="8" t="str">
        <f>IF(C3&lt;B3,"Watch","Acceptable")</f>
        <v>Watch</v>
      </c>
    </row>
    <row r="4" spans="1:6" ht="15" customHeight="1">
      <c r="A4" s="8" t="s">
        <v>1445</v>
      </c>
      <c r="B4" s="36">
        <f>'Executive summary'!B9</f>
        <v>0</v>
      </c>
      <c r="C4" s="38">
        <f>'Executive summary'!C9</f>
        <v>4.1958041958041958E-3</v>
      </c>
      <c r="D4" s="10">
        <f>'Executive summary'!D9</f>
        <v>4.1958041958041958E-3</v>
      </c>
      <c r="E4" s="38" t="str">
        <f>'Executive summary'!E9</f>
        <v/>
      </c>
      <c r="F4" s="8" t="str">
        <f>IF(C4&gt;B4,"Watch","Acceptable")</f>
        <v>Watch</v>
      </c>
    </row>
    <row r="5" spans="1:6" ht="15" customHeight="1">
      <c r="A5" s="8" t="s">
        <v>1446</v>
      </c>
      <c r="B5" s="36">
        <f>'Executive summary'!B10</f>
        <v>0.1471861471861472</v>
      </c>
      <c r="C5" s="38">
        <f>'Executive summary'!C10</f>
        <v>0.24755244755244754</v>
      </c>
      <c r="D5" s="10">
        <f>'Executive summary'!D10</f>
        <v>0.10036630036630034</v>
      </c>
      <c r="E5" s="38">
        <f>'Executive summary'!E10</f>
        <v>0.68190045248868758</v>
      </c>
      <c r="F5" s="8" t="str">
        <f>IF(C5&gt;B5,"Watch","Acceptable")</f>
        <v>Watch</v>
      </c>
    </row>
    <row r="6" spans="1:6" ht="15" customHeight="1">
      <c r="A6" s="8" t="s">
        <v>1447</v>
      </c>
      <c r="B6" s="42">
        <f>'Executive summary'!B11</f>
        <v>57.051082251082306</v>
      </c>
      <c r="C6" s="40">
        <f>'Executive summary'!C11</f>
        <v>62.898041958041965</v>
      </c>
      <c r="D6" s="12">
        <f>'Executive summary'!D11</f>
        <v>5.8469597069596588</v>
      </c>
      <c r="E6" s="38">
        <f>'Executive summary'!E11</f>
        <v>0.10248639423222751</v>
      </c>
      <c r="F6" s="8" t="str">
        <f>IF(C6&lt;B6,"Watch","Acceptable")</f>
        <v>Acceptable</v>
      </c>
    </row>
    <row r="7" spans="1:6" ht="15" customHeight="1">
      <c r="A7" s="8" t="s">
        <v>1448</v>
      </c>
      <c r="B7" s="42">
        <f>'Executive summary'!B12</f>
        <v>8.8636363636363633</v>
      </c>
      <c r="C7" s="40">
        <f>'Executive summary'!C12</f>
        <v>6.4</v>
      </c>
      <c r="D7" s="12">
        <f>'Executive summary'!D12</f>
        <v>-2.463636363636363</v>
      </c>
      <c r="E7" s="38">
        <f>'Executive summary'!E12</f>
        <v>-0.27794871794871789</v>
      </c>
      <c r="F7" s="8" t="str">
        <f>IF(C7&gt;B7,"Watch","Acceptable")</f>
        <v>Acceptable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6"/>
  <sheetViews>
    <sheetView zoomScaleNormal="100" zoomScaleSheetLayoutView="100" workbookViewId="0">
      <selection activeCell="B20" sqref="B20"/>
    </sheetView>
  </sheetViews>
  <sheetFormatPr defaultRowHeight="15"/>
  <cols>
    <col min="1" max="2" width="28" customWidth="1"/>
  </cols>
  <sheetData>
    <row r="1" spans="1:2" ht="27.95" customHeight="1">
      <c r="A1" s="1" t="s">
        <v>1490</v>
      </c>
      <c r="B1" s="1" t="s">
        <v>1491</v>
      </c>
    </row>
    <row r="2" spans="1:2">
      <c r="A2" s="2" t="s">
        <v>1492</v>
      </c>
      <c r="B2" s="2" t="s">
        <v>1493</v>
      </c>
    </row>
    <row r="3" spans="1:2">
      <c r="A3" s="2" t="s">
        <v>21</v>
      </c>
      <c r="B3" s="2" t="s">
        <v>1494</v>
      </c>
    </row>
    <row r="4" spans="1:2">
      <c r="A4" s="2" t="s">
        <v>727</v>
      </c>
      <c r="B4" s="2" t="s">
        <v>1495</v>
      </c>
    </row>
    <row r="5" spans="1:2">
      <c r="A5" s="2" t="s">
        <v>1496</v>
      </c>
      <c r="B5" s="2" t="s">
        <v>1497</v>
      </c>
    </row>
    <row r="6" spans="1:2">
      <c r="A6" s="2" t="s">
        <v>9</v>
      </c>
      <c r="B6" s="2" t="s">
        <v>1498</v>
      </c>
    </row>
    <row r="7" spans="1:2">
      <c r="A7" s="2" t="s">
        <v>10</v>
      </c>
      <c r="B7" s="2" t="s">
        <v>1499</v>
      </c>
    </row>
    <row r="8" spans="1:2">
      <c r="A8" s="2" t="s">
        <v>11</v>
      </c>
      <c r="B8" s="2" t="s">
        <v>1500</v>
      </c>
    </row>
    <row r="9" spans="1:2">
      <c r="A9" s="2" t="s">
        <v>12</v>
      </c>
      <c r="B9" s="2" t="s">
        <v>1501</v>
      </c>
    </row>
    <row r="10" spans="1:2">
      <c r="A10" s="2" t="s">
        <v>13</v>
      </c>
      <c r="B10" s="2" t="s">
        <v>1502</v>
      </c>
    </row>
    <row r="11" spans="1:2">
      <c r="A11" s="2" t="s">
        <v>14</v>
      </c>
      <c r="B11" s="2" t="s">
        <v>1503</v>
      </c>
    </row>
    <row r="12" spans="1:2">
      <c r="A12" s="2" t="s">
        <v>16</v>
      </c>
      <c r="B12" s="2" t="s">
        <v>1504</v>
      </c>
    </row>
    <row r="13" spans="1:2">
      <c r="A13" s="2" t="s">
        <v>18</v>
      </c>
      <c r="B13" s="2" t="s">
        <v>1505</v>
      </c>
    </row>
    <row r="14" spans="1:2">
      <c r="A14" s="2" t="s">
        <v>1506</v>
      </c>
      <c r="B14" s="2" t="s">
        <v>1507</v>
      </c>
    </row>
    <row r="26" spans="2:2">
      <c r="B26">
        <f>COUNTIF(clean_data!C2:C1409,"Control")</f>
        <v>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2026-06-23T10:42:09Z</dcterms:created>
  <dcterms:modified xsi:type="dcterms:W3CDTF">2026-06-24T09:23:18Z</dcterms:modified>
  <cp:category/>
  <cp:contentStatus/>
</cp:coreProperties>
</file>